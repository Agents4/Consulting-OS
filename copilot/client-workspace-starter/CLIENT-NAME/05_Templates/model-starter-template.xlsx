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Guide" sheetId="2" state="visible" r:id="rId4"/>
    <sheet name="Inputs" sheetId="3" state="visible" r:id="rId5"/>
    <sheet name="Data_Raw" sheetId="4" state="visible" r:id="rId6"/>
    <sheet name="Calc" sheetId="5" state="visible" r:id="rId7"/>
    <sheet name="Scenarios" sheetId="6" state="visible" r:id="rId8"/>
    <sheet name="Outputs" sheetId="7" state="visible" r:id="rId9"/>
    <sheet name="Checks" sheetId="8" state="visible" r:id="rId10"/>
    <sheet name="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<sst xmlns="http://schemas.openxmlformats.org/spreadsheetml/2006/main" count="440" uniqueCount="294">
  <si>
    <t xml:space="preserve">Model Title: [Engagement codename] - Opportunity Model</t>
  </si>
  <si>
    <t xml:space="preserve">STARTER TEMPLATE - example logic and example inputs. Replace before use.</t>
  </si>
  <si>
    <t xml:space="preserve">Purpose</t>
  </si>
  <si>
    <t xml:space="preserve">Size the EBITDA opportunity and 5-year value of three initiatives; test scenarios and sensitivities.</t>
  </si>
  <si>
    <t xml:space="preserve">Question 1</t>
  </si>
  <si>
    <t xml:space="preserve">What is the baseline, and does it tie to the client ledger?</t>
  </si>
  <si>
    <t xml:space="preserve">Question 2</t>
  </si>
  <si>
    <t xml:space="preserve">What run-rate EBITDA does each initiative create under Low / Base / High?</t>
  </si>
  <si>
    <t xml:space="preserve">Question 3</t>
  </si>
  <si>
    <t xml:space="preserve">What is the NPV and payback, and which assumption moves the answer most?</t>
  </si>
  <si>
    <t xml:space="preserve">Owner</t>
  </si>
  <si>
    <t xml:space="preserve">[Model owner name]</t>
  </si>
  <si>
    <t xml:space="preserve">Reviewer</t>
  </si>
  <si>
    <t xml:space="preserve">[Independent reviewer name]</t>
  </si>
  <si>
    <t xml:space="preserve">Version / status</t>
  </si>
  <si>
    <t xml:space="preserve">v0.1 - Template</t>
  </si>
  <si>
    <t xml:space="preserve">Date</t>
  </si>
  <si>
    <t xml:space="preserve">2026-10-16</t>
  </si>
  <si>
    <t xml:space="preserve">File name convention</t>
  </si>
  <si>
    <t xml:space="preserve">[Model]_[STATUS]_[vYYYYMMDD]_[initials].xlsx</t>
  </si>
  <si>
    <t xml:space="preserve">Active scenario</t>
  </si>
  <si>
    <t xml:space="preserve">Master check</t>
  </si>
  <si>
    <t xml:space="preserve">Integrity flags</t>
  </si>
  <si>
    <t xml:space="preserve">Sense-check flags</t>
  </si>
  <si>
    <t xml:space="preserve">Status</t>
  </si>
  <si>
    <t xml:space="preserve">Contents</t>
  </si>
  <si>
    <t xml:space="preserve">Guide</t>
  </si>
  <si>
    <t xml:space="preserve">How to use and adapt</t>
  </si>
  <si>
    <t xml:space="preserve">Inputs</t>
  </si>
  <si>
    <t xml:space="preserve">All assumptions, sourced</t>
  </si>
  <si>
    <t xml:space="preserve">Data_Raw</t>
  </si>
  <si>
    <t xml:space="preserve">Untouched client data</t>
  </si>
  <si>
    <t xml:space="preserve">Calc</t>
  </si>
  <si>
    <t xml:space="preserve">Calculations</t>
  </si>
  <si>
    <t xml:space="preserve">Scenarios</t>
  </si>
  <si>
    <t xml:space="preserve">Scenario selector</t>
  </si>
  <si>
    <t xml:space="preserve">Outputs</t>
  </si>
  <si>
    <t xml:space="preserve">Numbers for slides; bridge</t>
  </si>
  <si>
    <t xml:space="preserve">Checks</t>
  </si>
  <si>
    <t xml:space="preserve">Integrity and sense checks</t>
  </si>
  <si>
    <t xml:space="preserve">Log</t>
  </si>
  <si>
    <t xml:space="preserve">Versions, data, issues, sign-off</t>
  </si>
  <si>
    <t xml:space="preserve">Color key</t>
  </si>
  <si>
    <t xml:space="preserve">1,234.5</t>
  </si>
  <si>
    <t xml:space="preserve">Blue font: hard-coded input</t>
  </si>
  <si>
    <t xml:space="preserve">Black font: formula</t>
  </si>
  <si>
    <t xml:space="preserve">Green font: pulled from another tab</t>
  </si>
  <si>
    <t xml:space="preserve">Base</t>
  </si>
  <si>
    <t xml:space="preserve">Yellow fill: key selector</t>
  </si>
  <si>
    <t xml:space="preserve">0</t>
  </si>
  <si>
    <t xml:space="preserve">Green fill: check passes</t>
  </si>
  <si>
    <t xml:space="preserve">1</t>
  </si>
  <si>
    <t xml:space="preserve">Red fill: check flagged</t>
  </si>
  <si>
    <t xml:space="preserve">How this starter model is organized and how to adapt it.</t>
  </si>
  <si>
    <t xml:space="preserve">Starter structure for a consulting-style opportunity model: inputs, calculations, scenarios, outputs, checks, and a log. The example sizes three initiatives and a simple 5-year business case. Replace the example logic, keep the structure.</t>
  </si>
  <si>
    <t xml:space="preserve">Flow</t>
  </si>
  <si>
    <t xml:space="preserve">Inputs -&gt; Calc -&gt; Outputs. Checks reads from everywhere. Scenarios chooses the live column on Inputs.</t>
  </si>
  <si>
    <t xml:space="preserve">Inputs tab</t>
  </si>
  <si>
    <t xml:space="preserve">One row per assumption with unit, Low/Base/High, source, owner, date, confidence. The 'Live' column picks the active scenario. Never type a number inside a formula elsewhere.</t>
  </si>
  <si>
    <t xml:space="preserve">Calc tab</t>
  </si>
  <si>
    <t xml:space="preserve">Block A pulls inputs (green). Block B computes run-rate. Block C is the time series. One formula per row, copied across all periods.</t>
  </si>
  <si>
    <t xml:space="preserve">Outputs tab</t>
  </si>
  <si>
    <t xml:space="preserve">Every number that goes on a slide. Add the slide number in 'Used on slide(s)'. The bridge block feeds the waterfall chart.</t>
  </si>
  <si>
    <t xml:space="preserve">Checks tab</t>
  </si>
  <si>
    <t xml:space="preserve">Integrity checks must be zero. Sense checks flag for review. The master check shows on the Cover.</t>
  </si>
  <si>
    <t xml:space="preserve">Log tab</t>
  </si>
  <si>
    <t xml:space="preserve">Record each version, each data pull, open issues, and reviewer sign-off.</t>
  </si>
  <si>
    <t xml:space="preserve">To adapt</t>
  </si>
  <si>
    <t xml:space="preserve">1) Write the three questions on the Cover. 2) Replace Inputs rows. 3) Rebuild Calc blocks B and C for your logic. 4) Update Outputs and Checks. 5) Get an independent review before any number goes to the client.</t>
  </si>
  <si>
    <t xml:space="preserve">Blue font = hard-coded input. Black = formula. Green = pulled from another tab. Yellow fill = key selector. Pale yellow fill = input cell. Change this convention only if the client or firm template requires it, and update the Cover.</t>
  </si>
  <si>
    <t xml:space="preserve">Rules</t>
  </si>
  <si>
    <t xml:space="preserve">No hard-codes in formulas (only 0, 1, -1). One formula per row. No merged cells. No OFFSET or INDIRECT. No circular references. Units on every line. Negatives in brackets.</t>
  </si>
  <si>
    <t xml:space="preserve">Model owner</t>
  </si>
  <si>
    <t xml:space="preserve">One person holds the master. Everyone else works on a copy and sends changes to the owner.</t>
  </si>
  <si>
    <t xml:space="preserve">Formulas used</t>
  </si>
  <si>
    <t xml:space="preserve">INDEX, MATCH, SUM, IF, MAX, ABS, SUMPRODUCT, COUNT. Chosen to work in Excel, Google Sheets, and LibreOffice.</t>
  </si>
  <si>
    <t xml:space="preserve">Every assumption lives here, once. Blue = hard-coded input. Black = formula. EXAMPLE values: replace with real, sourced inputs.</t>
  </si>
  <si>
    <t xml:space="preserve">Scenario index (linked)</t>
  </si>
  <si>
    <t xml:space="preserve">Ref</t>
  </si>
  <si>
    <t xml:space="preserve">Input</t>
  </si>
  <si>
    <t xml:space="preserve">Unit</t>
  </si>
  <si>
    <t xml:space="preserve">Low</t>
  </si>
  <si>
    <t xml:space="preserve">High</t>
  </si>
  <si>
    <t xml:space="preserve">Live</t>
  </si>
  <si>
    <t xml:space="preserve">Source</t>
  </si>
  <si>
    <t xml:space="preserve">Confidence</t>
  </si>
  <si>
    <t xml:space="preserve">I1</t>
  </si>
  <si>
    <t xml:space="preserve">Baseline revenue</t>
  </si>
  <si>
    <t xml:space="preserve">$M</t>
  </si>
  <si>
    <t xml:space="preserve">EXAMPLE: FY26 audited P&amp;L</t>
  </si>
  <si>
    <t xml:space="preserve">CFO office</t>
  </si>
  <si>
    <t xml:space="preserve">I2</t>
  </si>
  <si>
    <t xml:space="preserve">Baseline EBITDA margin</t>
  </si>
  <si>
    <t xml:space="preserve">% of revenue</t>
  </si>
  <si>
    <t xml:space="preserve">I3</t>
  </si>
  <si>
    <t xml:space="preserve">Client-reported baseline EBITDA (for tie-out)</t>
  </si>
  <si>
    <t xml:space="preserve">EXAMPLE: FY26 annual report</t>
  </si>
  <si>
    <t xml:space="preserve">I4</t>
  </si>
  <si>
    <t xml:space="preserve">Check tolerance</t>
  </si>
  <si>
    <t xml:space="preserve">Team standard</t>
  </si>
  <si>
    <t xml:space="preserve">I5</t>
  </si>
  <si>
    <t xml:space="preserve">Initiative 1: revenue uplift</t>
  </si>
  <si>
    <t xml:space="preserve">% of baseline revenue</t>
  </si>
  <si>
    <t xml:space="preserve">EXAMPLE: pilot results + benchmark</t>
  </si>
  <si>
    <t xml:space="preserve">Consultant 1</t>
  </si>
  <si>
    <t xml:space="preserve">Medium</t>
  </si>
  <si>
    <t xml:space="preserve">I6</t>
  </si>
  <si>
    <t xml:space="preserve">Initiative 1: EBITDA flow-through</t>
  </si>
  <si>
    <t xml:space="preserve">% of added revenue</t>
  </si>
  <si>
    <t xml:space="preserve">EXAMPLE: contribution margin analysis</t>
  </si>
  <si>
    <t xml:space="preserve">I7</t>
  </si>
  <si>
    <t xml:space="preserve">Initiative 2: cost reduction</t>
  </si>
  <si>
    <t xml:space="preserve">% of baseline cost</t>
  </si>
  <si>
    <t xml:space="preserve">EXAMPLE: spend cube + peer benchmark</t>
  </si>
  <si>
    <t xml:space="preserve">Consultant 2</t>
  </si>
  <si>
    <t xml:space="preserve">I8</t>
  </si>
  <si>
    <t xml:space="preserve">Initiative 3: price realization</t>
  </si>
  <si>
    <t xml:space="preserve">EXAMPLE: leakage analysis, 14 sites</t>
  </si>
  <si>
    <t xml:space="preserve">Analyst</t>
  </si>
  <si>
    <t xml:space="preserve">I9</t>
  </si>
  <si>
    <t xml:space="preserve">Initiative 3: EBITDA flow-through</t>
  </si>
  <si>
    <t xml:space="preserve">EXAMPLE: pricing team</t>
  </si>
  <si>
    <t xml:space="preserve">I10</t>
  </si>
  <si>
    <t xml:space="preserve">Total one-time cost</t>
  </si>
  <si>
    <t xml:space="preserve">EXAMPLE: vendor quotes + internal estimate</t>
  </si>
  <si>
    <t xml:space="preserve">I11</t>
  </si>
  <si>
    <t xml:space="preserve">Discount rate</t>
  </si>
  <si>
    <t xml:space="preserve">%</t>
  </si>
  <si>
    <t xml:space="preserve">EXAMPLE: client WACC memo</t>
  </si>
  <si>
    <t xml:space="preserve">Time-series inputs (same in every scenario)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</si>
  <si>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</si>
  <si>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</si>
  <si>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</si>
  <si>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</si>
  <si>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</si>
  <si>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Total / Max</t>
  </si>
  <si>
    <t xml:space="preserve">T1</t>
  </si>
  <si>
    <t xml:space="preserve">Ramp-up (share of run-rate achieved)</t>
  </si>
  <si>
    <t xml:space="preserve">% of run-rate</t>
  </si>
  <si>
    <t xml:space="preserve">T2</t>
  </si>
  <si>
    <t xml:space="preserve">One-time cost phasing</t>
  </si>
  <si>
    <t xml:space="preserve">% of total cost</t>
  </si>
  <si>
    <t xml:space="preserve">Paste raw client data here, untouched. Clean in a separate tab or in Power Query. Log every pull on the Log tab.</t>
  </si>
  <si>
    <t xml:space="preserve">Property</t>
  </si>
  <si>
    <t xml:space="preserve">Month</t>
  </si>
  <si>
    <t xml:space="preserve">Channel</t>
  </si>
  <si>
    <t xml:space="preserve">Room nights</t>
  </si>
  <si>
    <t xml:space="preserve">Revenue ($)</t>
  </si>
  <si>
    <t xml:space="preserve">P001</t>
  </si>
  <si>
    <t xml:space="preserve">2026-01</t>
  </si>
  <si>
    <t xml:space="preserve">OTA</t>
  </si>
  <si>
    <t xml:space="preserve">Direct</t>
  </si>
  <si>
    <t xml:space="preserve">P002</t>
  </si>
  <si>
    <t xml:space="preserve">Source: EXAMPLE rows only. Replace with client export. Record file name, date, owner, and permission basis on the Log tab.</t>
  </si>
  <si>
    <t xml:space="preserve">Flows top to bottom. Green = pulled from another tab. Black = calculation. One formula per row, copied across.</t>
  </si>
  <si>
    <t xml:space="preserve">Line item</t>
  </si>
  <si>
    <t xml:space="preserve">Constant / Total</t>
  </si>
  <si>
    <t xml:space="preserve">Year number</t>
  </si>
  <si>
    <t xml:space="preserve">#</t>
  </si>
  <si>
    <t xml:space="preserve">A. Linked inputs</t>
  </si>
  <si>
    <t xml:space="preserve">Initiative 1 revenue uplift</t>
  </si>
  <si>
    <t xml:space="preserve">Initiative 1 flow-through</t>
  </si>
  <si>
    <t xml:space="preserve">Initiative 2 cost reduction</t>
  </si>
  <si>
    <t xml:space="preserve">Initiative 3 price realization</t>
  </si>
  <si>
    <t xml:space="preserve">Initiative 3 flow-through</t>
  </si>
  <si>
    <t xml:space="preserve">Ramp-up</t>
  </si>
  <si>
    <t xml:space="preserve">B. Run-rate economics</t>
  </si>
  <si>
    <t xml:space="preserve">Baseline EBITDA</t>
  </si>
  <si>
    <t xml:space="preserve">Baseline cost base</t>
  </si>
  <si>
    <t xml:space="preserve">Initiative 1 run-rate EBITDA</t>
  </si>
  <si>
    <t xml:space="preserve">Initiative 2 run-rate EBITDA</t>
  </si>
  <si>
    <t xml:space="preserve">Initiative 3 run-rate EBITDA</t>
  </si>
  <si>
    <t xml:space="preserve">Total run-rate EBITDA uplift</t>
  </si>
  <si>
    <t xml:space="preserve">C. Time series</t>
  </si>
  <si>
    <t xml:space="preserve">Initiative 1 benefit</t>
  </si>
  <si>
    <t xml:space="preserve">Initiative 2 benefit</t>
  </si>
  <si>
    <t xml:space="preserve">Initiative 3 benefit</t>
  </si>
  <si>
    <t xml:space="preserve">Total benefit</t>
  </si>
  <si>
    <t xml:space="preserve">One-time cost</t>
  </si>
  <si>
    <t xml:space="preserve">Net cash flow</t>
  </si>
  <si>
    <t xml:space="preserve">Discount factor</t>
  </si>
  <si>
    <t xml:space="preserve">x</t>
  </si>
  <si>
    <t xml:space="preserve">Present value</t>
  </si>
  <si>
    <t xml:space="preserve">Cumulative net cash flow</t>
  </si>
  <si>
    <t xml:space="preserve">Cumulative positive flag</t>
  </si>
  <si>
    <t xml:space="preserve">flag</t>
  </si>
  <si>
    <t xml:space="preserve">Payback year assumes cumulative cash stays positive once it turns positive. Check row 37 if costs recur.</t>
  </si>
  <si>
    <t xml:space="preserve">Pick the active scenario. Inputs tab pulls the matching column.</t>
  </si>
  <si>
    <t xml:space="preserve">Scenario index (1=Low, 2=Base, 3=High)</t>
  </si>
  <si>
    <t xml:space="preserve">Index</t>
  </si>
  <si>
    <t xml:space="preserve">Scenario</t>
  </si>
  <si>
    <t xml:space="preserve">Definition</t>
  </si>
  <si>
    <t xml:space="preserve">Conservative: lower uplift, higher one-time cost. Use for downside and finance haircut view.</t>
  </si>
  <si>
    <t xml:space="preserve">Most likely: benchmark-backed uplift, planned one-time cost.</t>
  </si>
  <si>
    <t xml:space="preserve">Stretch: top-quartile uplift, lower one-time cost.</t>
  </si>
  <si>
    <t xml:space="preserve">To record results from each scenario: switch C4, copy the Outputs values, paste-as-values into the Log tab with date and version. Do not leave pasted values inside calculation tabs.</t>
  </si>
  <si>
    <t xml:space="preserve">Everything the slides use. Slide references must match the 'Used on slide(s)' column.</t>
  </si>
  <si>
    <t xml:space="preserve">Output</t>
  </si>
  <si>
    <t xml:space="preserve">Value</t>
  </si>
  <si>
    <t xml:space="preserve">Used on slide(s)</t>
  </si>
  <si>
    <t xml:space="preserve">[slide #]</t>
  </si>
  <si>
    <t xml:space="preserve">Revenue x baseline margin; ties to client-reported EBITDA</t>
  </si>
  <si>
    <t xml:space="preserve">Revenue uplift x flow-through</t>
  </si>
  <si>
    <t xml:space="preserve">Cost reduction % x baseline cost base</t>
  </si>
  <si>
    <t xml:space="preserve">Price realization x flow-through</t>
  </si>
  <si>
    <t xml:space="preserve">Total run-rate uplift</t>
  </si>
  <si>
    <t xml:space="preserve">Sum of initiatives at 100% ramp</t>
  </si>
  <si>
    <t xml:space="preserve">Target EBITDA (run-rate)</t>
  </si>
  <si>
    <t xml:space="preserve">Baseline plus total uplift</t>
  </si>
  <si>
    <t xml:space="preserve">Year-5 total benefit</t>
  </si>
  <si>
    <t xml:space="preserve">Benefit in Y5 after ramp</t>
  </si>
  <si>
    <t xml:space="preserve">Sum of phased one-time cost</t>
  </si>
  <si>
    <t xml:space="preserve">NPV of net cash flow (5 years)</t>
  </si>
  <si>
    <t xml:space="preserve">Discounted at the live discount rate; no terminal value</t>
  </si>
  <si>
    <t xml:space="preserve">Payback year</t>
  </si>
  <si>
    <t xml:space="preserve">year #</t>
  </si>
  <si>
    <t xml:space="preserve">First year cumulative net cash flow is positive</t>
  </si>
  <si>
    <t xml:space="preserve">EBITDA bridge (feeds the waterfall chart)</t>
  </si>
  <si>
    <t xml:space="preserve">Step</t>
  </si>
  <si>
    <t xml:space="preserve">Initiative 1</t>
  </si>
  <si>
    <t xml:space="preserve">Initiative 2</t>
  </si>
  <si>
    <t xml:space="preserve">Initiative 3</t>
  </si>
  <si>
    <t xml:space="preserve">Target EBITDA</t>
  </si>
  <si>
    <t xml:space="preserve">Error cells in output block</t>
  </si>
  <si>
    <t xml:space="preserve">Integrity checks must be zero. Sense checks flag for review but do not necessarily mean an error. Green values are pulled in the block at the bottom.</t>
  </si>
  <si>
    <t xml:space="preserve">Tolerance ($M, linked)</t>
  </si>
  <si>
    <t xml:space="preserve">Check</t>
  </si>
  <si>
    <t xml:space="preserve">Difference</t>
  </si>
  <si>
    <t xml:space="preserve">Tolerance</t>
  </si>
  <si>
    <t xml:space="preserve">Flag</t>
  </si>
  <si>
    <t xml:space="preserve">What to do if flagged</t>
  </si>
  <si>
    <t xml:space="preserve">Baseline EBITDA ties to client-reported</t>
  </si>
  <si>
    <t xml:space="preserve">Reconcile revenue and margin to the ledger</t>
  </si>
  <si>
    <t xml:space="preserve">Bridge target equals target output</t>
  </si>
  <si>
    <t xml:space="preserve">Check Outputs bridge rows</t>
  </si>
  <si>
    <t xml:space="preserve">Initiative benefits sum to total benefit</t>
  </si>
  <si>
    <t xml:space="preserve">Check Calc rows 29-32</t>
  </si>
  <si>
    <t xml:space="preserve">One-time cost phasing sums to 100%</t>
  </si>
  <si>
    <t xml:space="preserve">Fix Inputs T2</t>
  </si>
  <si>
    <t xml:space="preserve">Ramp-up never exceeds 100%</t>
  </si>
  <si>
    <t xml:space="preserve">Fix Inputs T1</t>
  </si>
  <si>
    <t xml:space="preserve">Scenario index is valid</t>
  </si>
  <si>
    <t xml:space="preserve">Pick Low, Base, or High on Scenarios</t>
  </si>
  <si>
    <t xml:space="preserve">No error values in outputs</t>
  </si>
  <si>
    <t xml:space="preserve">Trace the error on Outputs</t>
  </si>
  <si>
    <t xml:space="preserve">Sense checks (rules of thumb; review, do not auto-fail)</t>
  </si>
  <si>
    <t xml:space="preserve">Min / Max</t>
  </si>
  <si>
    <t xml:space="preserve">Comment</t>
  </si>
  <si>
    <t xml:space="preserve">Year-5 benefit as % of baseline EBITDA (max)</t>
  </si>
  <si>
    <t xml:space="preserve">Above band: re-test the biggest driver</t>
  </si>
  <si>
    <t xml:space="preserve">Baseline EBITDA margin within plausible band (min / max)</t>
  </si>
  <si>
    <t xml:space="preserve">Outside peer range: confirm the input</t>
  </si>
  <si>
    <t xml:space="preserve">Integrity flags (must be 0)</t>
  </si>
  <si>
    <t xml:space="preserve">Sense-check flags (review)</t>
  </si>
  <si>
    <t xml:space="preserve">Linked values used above (green = pulled from other tabs)</t>
  </si>
  <si>
    <t xml:space="preserve">Baseline EBITDA (model)</t>
  </si>
  <si>
    <t xml:space="preserve">Client-reported baseline EBITDA</t>
  </si>
  <si>
    <t xml:space="preserve">Bridge target</t>
  </si>
  <si>
    <t xml:space="preserve">Target EBITDA output</t>
  </si>
  <si>
    <t xml:space="preserve">Total benefit, all years</t>
  </si>
  <si>
    <t xml:space="preserve">Initiative 1 benefit, all years</t>
  </si>
  <si>
    <t xml:space="preserve">Initiative 2 benefit, all years</t>
  </si>
  <si>
    <t xml:space="preserve">Initiative 3 benefit, all years</t>
  </si>
  <si>
    <t xml:space="preserve">Cost phasing total</t>
  </si>
  <si>
    <t xml:space="preserve">Ramp-up maximum</t>
  </si>
  <si>
    <t xml:space="preserve">Scenario index</t>
  </si>
  <si>
    <t xml:space="preserve">Error cells in outputs</t>
  </si>
  <si>
    <t xml:space="preserve">Version log, data log, open issues, and review sign-off.</t>
  </si>
  <si>
    <t xml:space="preserve">Version</t>
  </si>
  <si>
    <t xml:space="preserve">By</t>
  </si>
  <si>
    <t xml:space="preserve">Change</t>
  </si>
  <si>
    <t xml:space="preserve">v0.1</t>
  </si>
  <si>
    <t xml:space="preserve">OS</t>
  </si>
  <si>
    <t xml:space="preserve">Starter template created: example opportunity model with checks and scenarios</t>
  </si>
  <si>
    <t xml:space="preserve">Template</t>
  </si>
  <si>
    <t xml:space="preserve">Data log</t>
  </si>
  <si>
    <t xml:space="preserve">File / pull</t>
  </si>
  <si>
    <t xml:space="preserve">Received</t>
  </si>
  <si>
    <t xml:space="preserve">From</t>
  </si>
  <si>
    <t xml:space="preserve">Permission basis and storage location</t>
  </si>
  <si>
    <t xml:space="preserve">Sensitivity</t>
  </si>
  <si>
    <t xml:space="preserve">Open issues</t>
  </si>
  <si>
    <t xml:space="preserve">ID</t>
  </si>
  <si>
    <t xml:space="preserve">Raised</t>
  </si>
  <si>
    <t xml:space="preserve">Issue</t>
  </si>
  <si>
    <t xml:space="preserve">Review sign-off</t>
  </si>
  <si>
    <t xml:space="preserve">Method</t>
  </si>
  <si>
    <t xml:space="preserve">Findings and resolution</t>
  </si>
  <si>
    <t xml:space="preserve">Result</t>
  </si>
  <si>
    <t xml:space="preserve">Inputs vs sources</t>
  </si>
  <si>
    <t xml:space="preserve">Formulas</t>
  </si>
  <si>
    <t xml:space="preserve">Outputs vs benchmark</t>
  </si>
  <si>
    <t xml:space="preserve">Back-of-envelope</t>
  </si>
  <si>
    <t xml:space="preserve">Standards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</si>
</sst>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.0;\(#,##0.0\);\-"/>
    <numFmt numFmtId="167" formatCode="0.0%;\(0.0%\);\-"/>
    <numFmt numFmtId="168" formatCode="0.00"/>
    <numFmt numFmtId="169" formatCode="#,##0"/>
    <numFmt numFmtId="170" formatCode="0.000"/>
    <numFmt numFmtId="171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3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E7EAEE"/>
        <bgColor rgb="FFFFF9DB"/>
      </patternFill>
    </fill>
    <fill>
      <patternFill patternType="solid">
        <fgColor rgb="FFFFF9DB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E699"/>
      </patternFill>
    </fill>
    <fill>
      <patternFill patternType="solid">
        <fgColor rgb="FF1F2A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7EAEE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odel-starter-template.xlsx" TargetMode="External"/><Relationship Id="rId2" Type="http://schemas.openxmlformats.org/officeDocument/2006/relationships/hyperlink" Target="model-starter-template.xlsx" TargetMode="External"/><Relationship Id="rId3" Type="http://schemas.openxmlformats.org/officeDocument/2006/relationships/hyperlink" Target="model-starter-template.xlsx" TargetMode="External"/><Relationship Id="rId4" Type="http://schemas.openxmlformats.org/officeDocument/2006/relationships/hyperlink" Target="model-starter-template.xlsx" TargetMode="External"/><Relationship Id="rId5" Type="http://schemas.openxmlformats.org/officeDocument/2006/relationships/hyperlink" Target="model-starter-template.xlsx" TargetMode="External"/><Relationship Id="rId6" Type="http://schemas.openxmlformats.org/officeDocument/2006/relationships/hyperlink" Target="model-starter-template.xlsx" TargetMode="External"/><Relationship Id="rId7" Type="http://schemas.openxmlformats.org/officeDocument/2006/relationships/hyperlink" Target="model-starter-template.xlsx" TargetMode="External"/><Relationship Id="rId8" Type="http://schemas.openxmlformats.org/officeDocument/2006/relationships/hyperlink" Target="model-starter-template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7"/>
    <pageSetUpPr fitToPage="true"/>
  </sheetPr>
  <dimension ref="A1:C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5" t="str">
        <f aca="false">Scenarios!C4</f>
        <v>Base</v>
      </c>
    </row>
    <row r="15" customFormat="false" ht="15" hidden="false" customHeight="false" outlineLevel="0" collapsed="false">
      <c r="A15" s="6" t="s">
        <v>21</v>
      </c>
      <c r="B15" s="7"/>
      <c r="C15" s="7"/>
    </row>
    <row r="16" customFormat="false" ht="15" hidden="false" customHeight="false" outlineLevel="0" collapsed="false">
      <c r="A16" s="8" t="s">
        <v>22</v>
      </c>
      <c r="C16" s="9" t="n">
        <f aca="false">Checks!C21</f>
        <v>0</v>
      </c>
    </row>
    <row r="17" customFormat="false" ht="15" hidden="false" customHeight="false" outlineLevel="0" collapsed="false">
      <c r="A17" s="8" t="s">
        <v>23</v>
      </c>
      <c r="C17" s="9" t="n">
        <f aca="false">Checks!C22</f>
        <v>0</v>
      </c>
    </row>
    <row r="18" customFormat="false" ht="15" hidden="false" customHeight="false" outlineLevel="0" collapsed="false">
      <c r="A18" s="3" t="s">
        <v>24</v>
      </c>
      <c r="B18" s="3" t="str">
        <f aca="false">IF(C16=0,"ALL INTEGRITY CHECKS OK","ERRORS: "&amp;C16&amp;" integrity check(s) flagged")</f>
        <v>ALL INTEGRITY CHECKS OK</v>
      </c>
    </row>
    <row r="20" customFormat="false" ht="15" hidden="false" customHeight="false" outlineLevel="0" collapsed="false">
      <c r="A20" s="6" t="s">
        <v>25</v>
      </c>
      <c r="B20" s="7"/>
      <c r="C20" s="7"/>
    </row>
    <row r="21" customFormat="false" ht="15" hidden="false" customHeight="false" outlineLevel="0" collapsed="false">
      <c r="A21" s="10" t="s">
        <v>26</v>
      </c>
      <c r="B21" s="8" t="s">
        <v>27</v>
      </c>
    </row>
    <row r="22" customFormat="false" ht="15" hidden="false" customHeight="false" outlineLevel="0" collapsed="false">
      <c r="A22" s="10" t="s">
        <v>28</v>
      </c>
      <c r="B22" s="8" t="s">
        <v>29</v>
      </c>
    </row>
    <row r="23" customFormat="false" ht="15" hidden="false" customHeight="false" outlineLevel="0" collapsed="false">
      <c r="A23" s="10" t="s">
        <v>30</v>
      </c>
      <c r="B23" s="8" t="s">
        <v>31</v>
      </c>
    </row>
    <row r="24" customFormat="false" ht="15" hidden="false" customHeight="false" outlineLevel="0" collapsed="false">
      <c r="A24" s="10" t="s">
        <v>32</v>
      </c>
      <c r="B24" s="8" t="s">
        <v>33</v>
      </c>
    </row>
    <row r="25" customFormat="false" ht="15" hidden="false" customHeight="false" outlineLevel="0" collapsed="false">
      <c r="A25" s="10" t="s">
        <v>34</v>
      </c>
      <c r="B25" s="8" t="s">
        <v>35</v>
      </c>
    </row>
    <row r="26" customFormat="false" ht="15" hidden="false" customHeight="false" outlineLevel="0" collapsed="false">
      <c r="A26" s="10" t="s">
        <v>36</v>
      </c>
      <c r="B26" s="8" t="s">
        <v>37</v>
      </c>
    </row>
    <row r="27" customFormat="false" ht="15" hidden="false" customHeight="false" outlineLevel="0" collapsed="false">
      <c r="A27" s="10" t="s">
        <v>38</v>
      </c>
      <c r="B27" s="8" t="s">
        <v>39</v>
      </c>
    </row>
    <row r="28" customFormat="false" ht="15" hidden="false" customHeight="false" outlineLevel="0" collapsed="false">
      <c r="A28" s="10" t="s">
        <v>40</v>
      </c>
      <c r="B28" s="8" t="s">
        <v>41</v>
      </c>
    </row>
    <row r="30" customFormat="false" ht="15" hidden="false" customHeight="false" outlineLevel="0" collapsed="false">
      <c r="A30" s="6" t="s">
        <v>42</v>
      </c>
      <c r="B30" s="7"/>
      <c r="C30" s="7"/>
    </row>
    <row r="31" customFormat="false" ht="15" hidden="false" customHeight="false" outlineLevel="0" collapsed="false">
      <c r="A31" s="11" t="s">
        <v>43</v>
      </c>
      <c r="B31" s="8" t="s">
        <v>44</v>
      </c>
    </row>
    <row r="32" customFormat="false" ht="15" hidden="false" customHeight="false" outlineLevel="0" collapsed="false">
      <c r="A32" s="12" t="s">
        <v>43</v>
      </c>
      <c r="B32" s="8" t="s">
        <v>45</v>
      </c>
    </row>
    <row r="33" customFormat="false" ht="15" hidden="false" customHeight="false" outlineLevel="0" collapsed="false">
      <c r="A33" s="13" t="s">
        <v>43</v>
      </c>
      <c r="B33" s="8" t="s">
        <v>46</v>
      </c>
    </row>
    <row r="34" customFormat="false" ht="15" hidden="false" customHeight="false" outlineLevel="0" collapsed="false">
      <c r="A34" s="14" t="s">
        <v>47</v>
      </c>
      <c r="B34" s="8" t="s">
        <v>48</v>
      </c>
    </row>
    <row r="35" customFormat="false" ht="15" hidden="false" customHeight="false" outlineLevel="0" collapsed="false">
      <c r="A35" s="15" t="s">
        <v>49</v>
      </c>
      <c r="B35" s="8" t="s">
        <v>50</v>
      </c>
    </row>
    <row r="36" customFormat="false" ht="15" hidden="false" customHeight="false" outlineLevel="0" collapsed="false">
      <c r="A36" s="16" t="s">
        <v>51</v>
      </c>
      <c r="B36" s="8" t="s">
        <v>52</v>
      </c>
    </row>
  </sheetData>
  <conditionalFormatting sqref="B18">
    <cfRule type="expression" priority="2" aboveAverage="0" equalAverage="0" bottom="0" percent="0" rank="0" text="" dxfId="0">
      <formula>$C$16&gt;0</formula>
    </cfRule>
    <cfRule type="expression" priority="3" aboveAverage="0" equalAverage="0" bottom="0" percent="0" rank="0" text="" dxfId="1">
      <formula>$C$16=0</formula>
    </cfRule>
  </conditionalFormatting>
  <hyperlinks>
    <hyperlink ref="A21" r:id="rId1" location="'Guide'!A1" display="Guide"/>
    <hyperlink ref="A22" r:id="rId2" location="'Inputs'!A1" display="Inputs"/>
    <hyperlink ref="A23" r:id="rId3" location="'Data_Raw'!A1" display="Data_Raw"/>
    <hyperlink ref="A24" r:id="rId4" location="'Calc'!A1" display="Calc"/>
    <hyperlink ref="A25" r:id="rId5" location="'Scenarios'!A1" display="Scenarios"/>
    <hyperlink ref="A26" r:id="rId6" location="'Outputs'!A1" display="Outputs"/>
    <hyperlink ref="A27" r:id="rId7" location="'Checks'!A1" display="Checks"/>
    <hyperlink ref="A28" r:id="rId8" location="'Log'!A1" display="Log"/>
  </hyperlink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37"/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53</v>
      </c>
    </row>
    <row r="4" customFormat="false" ht="42" hidden="false" customHeight="true" outlineLevel="0" collapsed="false">
      <c r="A4" s="17" t="s">
        <v>2</v>
      </c>
      <c r="B4" s="18" t="s">
        <v>54</v>
      </c>
    </row>
    <row r="5" customFormat="false" ht="27.75" hidden="false" customHeight="true" outlineLevel="0" collapsed="false">
      <c r="A5" s="17" t="s">
        <v>55</v>
      </c>
      <c r="B5" s="18" t="s">
        <v>56</v>
      </c>
    </row>
    <row r="6" customFormat="false" ht="42" hidden="false" customHeight="true" outlineLevel="0" collapsed="false">
      <c r="A6" s="17" t="s">
        <v>57</v>
      </c>
      <c r="B6" s="18" t="s">
        <v>58</v>
      </c>
    </row>
    <row r="7" customFormat="false" ht="42" hidden="false" customHeight="true" outlineLevel="0" collapsed="false">
      <c r="A7" s="17" t="s">
        <v>59</v>
      </c>
      <c r="B7" s="18" t="s">
        <v>60</v>
      </c>
    </row>
    <row r="8" customFormat="false" ht="42" hidden="false" customHeight="true" outlineLevel="0" collapsed="false">
      <c r="A8" s="17" t="s">
        <v>61</v>
      </c>
      <c r="B8" s="18" t="s">
        <v>62</v>
      </c>
    </row>
    <row r="9" customFormat="false" ht="27.75" hidden="false" customHeight="true" outlineLevel="0" collapsed="false">
      <c r="A9" s="17" t="s">
        <v>63</v>
      </c>
      <c r="B9" s="18" t="s">
        <v>64</v>
      </c>
    </row>
    <row r="10" customFormat="false" ht="27.75" hidden="false" customHeight="true" outlineLevel="0" collapsed="false">
      <c r="A10" s="17" t="s">
        <v>65</v>
      </c>
      <c r="B10" s="18" t="s">
        <v>66</v>
      </c>
    </row>
    <row r="11" customFormat="false" ht="42" hidden="false" customHeight="true" outlineLevel="0" collapsed="false">
      <c r="A11" s="17" t="s">
        <v>67</v>
      </c>
      <c r="B11" s="18" t="s">
        <v>68</v>
      </c>
    </row>
    <row r="12" customFormat="false" ht="42" hidden="false" customHeight="true" outlineLevel="0" collapsed="false">
      <c r="A12" s="17" t="s">
        <v>42</v>
      </c>
      <c r="B12" s="18" t="s">
        <v>69</v>
      </c>
    </row>
    <row r="13" customFormat="false" ht="42" hidden="false" customHeight="true" outlineLevel="0" collapsed="false">
      <c r="A13" s="17" t="s">
        <v>70</v>
      </c>
      <c r="B13" s="18" t="s">
        <v>71</v>
      </c>
    </row>
    <row r="14" customFormat="false" ht="27.75" hidden="false" customHeight="true" outlineLevel="0" collapsed="false">
      <c r="A14" s="17" t="s">
        <v>72</v>
      </c>
      <c r="B14" s="18" t="s">
        <v>73</v>
      </c>
    </row>
    <row r="15" customFormat="false" ht="27.75" hidden="false" customHeight="true" outlineLevel="0" collapsed="false">
      <c r="A15" s="17" t="s">
        <v>74</v>
      </c>
      <c r="B15" s="18" t="s">
        <v>75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pageSetUpPr fitToPage="tru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7" min="4" style="0" width="11"/>
    <col collapsed="false" customWidth="true" hidden="false" outlineLevel="0" max="8" min="8" style="0" width="34"/>
    <col collapsed="false" customWidth="true" hidden="false" outlineLevel="0" max="11" min="9" style="0" width="12"/>
  </cols>
  <sheetData>
    <row r="1" customFormat="false" ht="19.7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76</v>
      </c>
    </row>
    <row r="4" customFormat="false" ht="15" hidden="false" customHeight="false" outlineLevel="0" collapsed="false">
      <c r="B4" s="8" t="s">
        <v>77</v>
      </c>
      <c r="C4" s="9" t="n">
        <f aca="false">Scenarios!C5</f>
        <v>2</v>
      </c>
    </row>
    <row r="7" customFormat="false" ht="15" hidden="false" customHeight="false" outlineLevel="0" collapsed="false">
      <c r="A7" s="19" t="s">
        <v>78</v>
      </c>
      <c r="B7" s="20" t="s">
        <v>79</v>
      </c>
      <c r="C7" s="20" t="s">
        <v>80</v>
      </c>
      <c r="D7" s="20" t="s">
        <v>81</v>
      </c>
      <c r="E7" s="20" t="s">
        <v>47</v>
      </c>
      <c r="F7" s="20" t="s">
        <v>82</v>
      </c>
      <c r="G7" s="20" t="s">
        <v>83</v>
      </c>
      <c r="H7" s="20" t="s">
        <v>84</v>
      </c>
      <c r="I7" s="20" t="s">
        <v>10</v>
      </c>
      <c r="J7" s="20" t="s">
        <v>16</v>
      </c>
      <c r="K7" s="20" t="s">
        <v>85</v>
      </c>
    </row>
    <row r="8" customFormat="false" ht="15" hidden="false" customHeight="false" outlineLevel="0" collapsed="false">
      <c r="A8" s="8" t="s">
        <v>86</v>
      </c>
      <c r="B8" s="8" t="s">
        <v>87</v>
      </c>
      <c r="C8" s="8" t="s">
        <v>88</v>
      </c>
      <c r="D8" s="21" t="n">
        <v>610</v>
      </c>
      <c r="E8" s="21" t="n">
        <v>610</v>
      </c>
      <c r="F8" s="21" t="n">
        <v>610</v>
      </c>
      <c r="G8" s="22" t="n">
        <f aca="false">INDEX(D8:F8,$C$4)</f>
        <v>610</v>
      </c>
      <c r="H8" s="8" t="s">
        <v>89</v>
      </c>
      <c r="I8" s="8" t="s">
        <v>90</v>
      </c>
      <c r="J8" s="23" t="s">
        <v>17</v>
      </c>
      <c r="K8" s="8" t="s">
        <v>82</v>
      </c>
    </row>
    <row r="9" customFormat="false" ht="15" hidden="false" customHeight="false" outlineLevel="0" collapsed="false">
      <c r="A9" s="8" t="s">
        <v>91</v>
      </c>
      <c r="B9" s="8" t="s">
        <v>92</v>
      </c>
      <c r="C9" s="8" t="s">
        <v>93</v>
      </c>
      <c r="D9" s="24" t="n">
        <v>0.15</v>
      </c>
      <c r="E9" s="24" t="n">
        <v>0.15</v>
      </c>
      <c r="F9" s="24" t="n">
        <v>0.15</v>
      </c>
      <c r="G9" s="25" t="n">
        <f aca="false">INDEX(D9:F9,$C$4)</f>
        <v>0.15</v>
      </c>
      <c r="H9" s="8" t="s">
        <v>89</v>
      </c>
      <c r="I9" s="8" t="s">
        <v>90</v>
      </c>
      <c r="J9" s="23" t="s">
        <v>17</v>
      </c>
      <c r="K9" s="8" t="s">
        <v>82</v>
      </c>
    </row>
    <row r="10" customFormat="false" ht="15" hidden="false" customHeight="false" outlineLevel="0" collapsed="false">
      <c r="A10" s="8" t="s">
        <v>94</v>
      </c>
      <c r="B10" s="8" t="s">
        <v>95</v>
      </c>
      <c r="C10" s="8" t="s">
        <v>88</v>
      </c>
      <c r="D10" s="21" t="n">
        <v>91.5</v>
      </c>
      <c r="E10" s="21" t="n">
        <v>91.5</v>
      </c>
      <c r="F10" s="21" t="n">
        <v>91.5</v>
      </c>
      <c r="G10" s="22" t="n">
        <f aca="false">INDEX(D10:F10,$C$4)</f>
        <v>91.5</v>
      </c>
      <c r="H10" s="8" t="s">
        <v>96</v>
      </c>
      <c r="I10" s="8" t="s">
        <v>90</v>
      </c>
      <c r="J10" s="23" t="s">
        <v>17</v>
      </c>
      <c r="K10" s="8" t="s">
        <v>82</v>
      </c>
    </row>
    <row r="11" customFormat="false" ht="15" hidden="false" customHeight="false" outlineLevel="0" collapsed="false">
      <c r="A11" s="8" t="s">
        <v>97</v>
      </c>
      <c r="B11" s="8" t="s">
        <v>98</v>
      </c>
      <c r="C11" s="8" t="s">
        <v>88</v>
      </c>
      <c r="D11" s="26" t="n">
        <v>0.05</v>
      </c>
      <c r="E11" s="26" t="n">
        <v>0.05</v>
      </c>
      <c r="F11" s="26" t="n">
        <v>0.05</v>
      </c>
      <c r="G11" s="27" t="n">
        <f aca="false">INDEX(D11:F11,$C$4)</f>
        <v>0.05</v>
      </c>
      <c r="H11" s="8" t="s">
        <v>99</v>
      </c>
      <c r="I11" s="8" t="s">
        <v>72</v>
      </c>
      <c r="J11" s="23" t="s">
        <v>17</v>
      </c>
      <c r="K11" s="8" t="s">
        <v>82</v>
      </c>
    </row>
    <row r="12" customFormat="false" ht="15" hidden="false" customHeight="false" outlineLevel="0" collapsed="false">
      <c r="A12" s="8" t="s">
        <v>100</v>
      </c>
      <c r="B12" s="8" t="s">
        <v>101</v>
      </c>
      <c r="C12" s="8" t="s">
        <v>102</v>
      </c>
      <c r="D12" s="24" t="n">
        <v>0.01</v>
      </c>
      <c r="E12" s="24" t="n">
        <v>0.02</v>
      </c>
      <c r="F12" s="24" t="n">
        <v>0.03</v>
      </c>
      <c r="G12" s="25" t="n">
        <f aca="false">INDEX(D12:F12,$C$4)</f>
        <v>0.02</v>
      </c>
      <c r="H12" s="8" t="s">
        <v>103</v>
      </c>
      <c r="I12" s="8" t="s">
        <v>104</v>
      </c>
      <c r="J12" s="23" t="s">
        <v>17</v>
      </c>
      <c r="K12" s="8" t="s">
        <v>105</v>
      </c>
    </row>
    <row r="13" customFormat="false" ht="15" hidden="false" customHeight="false" outlineLevel="0" collapsed="false">
      <c r="A13" s="8" t="s">
        <v>106</v>
      </c>
      <c r="B13" s="8" t="s">
        <v>107</v>
      </c>
      <c r="C13" s="8" t="s">
        <v>108</v>
      </c>
      <c r="D13" s="24" t="n">
        <v>0.4</v>
      </c>
      <c r="E13" s="24" t="n">
        <v>0.4</v>
      </c>
      <c r="F13" s="24" t="n">
        <v>0.4</v>
      </c>
      <c r="G13" s="25" t="n">
        <f aca="false">INDEX(D13:F13,$C$4)</f>
        <v>0.4</v>
      </c>
      <c r="H13" s="8" t="s">
        <v>109</v>
      </c>
      <c r="I13" s="8" t="s">
        <v>104</v>
      </c>
      <c r="J13" s="23" t="s">
        <v>17</v>
      </c>
      <c r="K13" s="8" t="s">
        <v>105</v>
      </c>
    </row>
    <row r="14" customFormat="false" ht="15" hidden="false" customHeight="false" outlineLevel="0" collapsed="false">
      <c r="A14" s="8" t="s">
        <v>110</v>
      </c>
      <c r="B14" s="8" t="s">
        <v>111</v>
      </c>
      <c r="C14" s="8" t="s">
        <v>112</v>
      </c>
      <c r="D14" s="24" t="n">
        <v>0.005</v>
      </c>
      <c r="E14" s="24" t="n">
        <v>0.01</v>
      </c>
      <c r="F14" s="24" t="n">
        <v>0.015</v>
      </c>
      <c r="G14" s="25" t="n">
        <f aca="false">INDEX(D14:F14,$C$4)</f>
        <v>0.01</v>
      </c>
      <c r="H14" s="8" t="s">
        <v>113</v>
      </c>
      <c r="I14" s="8" t="s">
        <v>114</v>
      </c>
      <c r="J14" s="23" t="s">
        <v>17</v>
      </c>
      <c r="K14" s="8" t="s">
        <v>105</v>
      </c>
    </row>
    <row r="15" customFormat="false" ht="15" hidden="false" customHeight="false" outlineLevel="0" collapsed="false">
      <c r="A15" s="8" t="s">
        <v>115</v>
      </c>
      <c r="B15" s="8" t="s">
        <v>116</v>
      </c>
      <c r="C15" s="8" t="s">
        <v>102</v>
      </c>
      <c r="D15" s="24" t="n">
        <v>0.003</v>
      </c>
      <c r="E15" s="24" t="n">
        <v>0.006</v>
      </c>
      <c r="F15" s="24" t="n">
        <v>0.009</v>
      </c>
      <c r="G15" s="25" t="n">
        <f aca="false">INDEX(D15:F15,$C$4)</f>
        <v>0.006</v>
      </c>
      <c r="H15" s="8" t="s">
        <v>117</v>
      </c>
      <c r="I15" s="8" t="s">
        <v>118</v>
      </c>
      <c r="J15" s="23" t="s">
        <v>17</v>
      </c>
      <c r="K15" s="8" t="s">
        <v>81</v>
      </c>
    </row>
    <row r="16" customFormat="false" ht="15" hidden="false" customHeight="false" outlineLevel="0" collapsed="false">
      <c r="A16" s="8" t="s">
        <v>119</v>
      </c>
      <c r="B16" s="8" t="s">
        <v>120</v>
      </c>
      <c r="C16" s="8" t="s">
        <v>108</v>
      </c>
      <c r="D16" s="24" t="n">
        <v>0.9</v>
      </c>
      <c r="E16" s="24" t="n">
        <v>0.9</v>
      </c>
      <c r="F16" s="24" t="n">
        <v>0.9</v>
      </c>
      <c r="G16" s="25" t="n">
        <f aca="false">INDEX(D16:F16,$C$4)</f>
        <v>0.9</v>
      </c>
      <c r="H16" s="8" t="s">
        <v>121</v>
      </c>
      <c r="I16" s="8" t="s">
        <v>118</v>
      </c>
      <c r="J16" s="23" t="s">
        <v>17</v>
      </c>
      <c r="K16" s="8" t="s">
        <v>105</v>
      </c>
    </row>
    <row r="17" customFormat="false" ht="15" hidden="false" customHeight="false" outlineLevel="0" collapsed="false">
      <c r="A17" s="8" t="s">
        <v>122</v>
      </c>
      <c r="B17" s="8" t="s">
        <v>123</v>
      </c>
      <c r="C17" s="8" t="s">
        <v>88</v>
      </c>
      <c r="D17" s="21" t="n">
        <v>8</v>
      </c>
      <c r="E17" s="21" t="n">
        <v>6</v>
      </c>
      <c r="F17" s="21" t="n">
        <v>4</v>
      </c>
      <c r="G17" s="22" t="n">
        <f aca="false">INDEX(D17:F17,$C$4)</f>
        <v>6</v>
      </c>
      <c r="H17" s="8" t="s">
        <v>124</v>
      </c>
      <c r="I17" s="8" t="s">
        <v>114</v>
      </c>
      <c r="J17" s="23" t="s">
        <v>17</v>
      </c>
      <c r="K17" s="8" t="s">
        <v>81</v>
      </c>
    </row>
    <row r="18" customFormat="false" ht="15" hidden="false" customHeight="false" outlineLevel="0" collapsed="false">
      <c r="A18" s="8" t="s">
        <v>125</v>
      </c>
      <c r="B18" s="8" t="s">
        <v>126</v>
      </c>
      <c r="C18" s="8" t="s">
        <v>127</v>
      </c>
      <c r="D18" s="24" t="n">
        <v>0.1</v>
      </c>
      <c r="E18" s="24" t="n">
        <v>0.1</v>
      </c>
      <c r="F18" s="24" t="n">
        <v>0.1</v>
      </c>
      <c r="G18" s="25" t="n">
        <f aca="false">INDEX(D18:F18,$C$4)</f>
        <v>0.1</v>
      </c>
      <c r="H18" s="8" t="s">
        <v>128</v>
      </c>
      <c r="I18" s="8" t="s">
        <v>90</v>
      </c>
      <c r="J18" s="23" t="s">
        <v>17</v>
      </c>
      <c r="K18" s="8" t="s">
        <v>105</v>
      </c>
    </row>
    <row r="20" customFormat="false" ht="15" hidden="false" customHeight="false" outlineLevel="0" collapsed="false">
      <c r="A20" s="6" t="s">
        <v>129</v>
      </c>
      <c r="B20" s="7"/>
      <c r="C20" s="7"/>
      <c r="D20" s="7"/>
      <c r="E20" s="7"/>
      <c r="F20" s="7"/>
      <c r="G20" s="7"/>
      <c r="H20" s="7"/>
      <c r="I20" s="7"/>
      <c r="J20" s="7"/>
      <c r="K20" s="7"/>
    </row>
    <row r="21" customFormat="false" ht="15" hidden="false" customHeight="false" outlineLevel="0" collapsed="false">
      <c r="A21" s="19" t="s">
        <v>78</v>
      </c>
      <c r="B21" s="20" t="s">
        <v>79</v>
      </c>
      <c r="C21" s="20" t="s">
        <v>80</v>
      </c>
      <c r="D21" s="20" t="s">
        <v>130</v>
      </c>
      <c r="E21" s="20" t="s">
        <v>131</v>
      </c>
      <c r="F21" s="20" t="s">
        <v>132</v>
      </c>
      <c r="G21" s="20" t="s">
        <v>133</v>
      </c>
      <c r="H21" s="20" t="s">
        <v>134</v>
      </c>
      <c r="I21" s="20" t="s">
        <v>135</v>
      </c>
    </row>
    <row r="22" customFormat="false" ht="15" hidden="false" customHeight="false" outlineLevel="0" collapsed="false">
      <c r="A22" s="8" t="s">
        <v>136</v>
      </c>
      <c r="B22" s="8" t="s">
        <v>137</v>
      </c>
      <c r="C22" s="8" t="s">
        <v>138</v>
      </c>
      <c r="D22" s="24" t="n">
        <v>0.2</v>
      </c>
      <c r="E22" s="24" t="n">
        <v>0.5</v>
      </c>
      <c r="F22" s="24" t="n">
        <v>0.8</v>
      </c>
      <c r="G22" s="24" t="n">
        <v>1</v>
      </c>
      <c r="H22" s="24" t="n">
        <v>1</v>
      </c>
      <c r="I22" s="28" t="n">
        <f aca="false">MAX(D22:H22)</f>
        <v>1</v>
      </c>
    </row>
    <row r="23" customFormat="false" ht="15" hidden="false" customHeight="false" outlineLevel="0" collapsed="false">
      <c r="A23" s="8" t="s">
        <v>139</v>
      </c>
      <c r="B23" s="8" t="s">
        <v>140</v>
      </c>
      <c r="C23" s="8" t="s">
        <v>141</v>
      </c>
      <c r="D23" s="24" t="n">
        <v>0.6</v>
      </c>
      <c r="E23" s="24" t="n">
        <v>0.4</v>
      </c>
      <c r="F23" s="24" t="n">
        <v>0</v>
      </c>
      <c r="G23" s="24" t="n">
        <v>0</v>
      </c>
      <c r="H23" s="24" t="n">
        <v>0</v>
      </c>
      <c r="I23" s="28" t="n">
        <f aca="false">SUM(D23:H23)</f>
        <v>1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142</v>
      </c>
    </row>
    <row r="4" customFormat="false" ht="15" hidden="false" customHeight="false" outlineLevel="0" collapsed="false">
      <c r="A4" s="19" t="s">
        <v>143</v>
      </c>
      <c r="B4" s="20" t="s">
        <v>144</v>
      </c>
      <c r="C4" s="20" t="s">
        <v>145</v>
      </c>
      <c r="D4" s="20" t="s">
        <v>146</v>
      </c>
      <c r="E4" s="20" t="s">
        <v>147</v>
      </c>
    </row>
    <row r="5" customFormat="false" ht="15" hidden="false" customHeight="false" outlineLevel="0" collapsed="false">
      <c r="A5" s="23" t="s">
        <v>148</v>
      </c>
      <c r="B5" s="23" t="s">
        <v>149</v>
      </c>
      <c r="C5" s="23" t="s">
        <v>150</v>
      </c>
      <c r="D5" s="29" t="n">
        <v>4120</v>
      </c>
      <c r="E5" s="29" t="n">
        <v>612400</v>
      </c>
    </row>
    <row r="6" customFormat="false" ht="15" hidden="false" customHeight="false" outlineLevel="0" collapsed="false">
      <c r="A6" s="23" t="s">
        <v>148</v>
      </c>
      <c r="B6" s="23" t="s">
        <v>149</v>
      </c>
      <c r="C6" s="23" t="s">
        <v>151</v>
      </c>
      <c r="D6" s="29" t="n">
        <v>2210</v>
      </c>
      <c r="E6" s="29" t="n">
        <v>351800</v>
      </c>
    </row>
    <row r="7" customFormat="false" ht="15" hidden="false" customHeight="false" outlineLevel="0" collapsed="false">
      <c r="A7" s="23" t="s">
        <v>152</v>
      </c>
      <c r="B7" s="23" t="s">
        <v>149</v>
      </c>
      <c r="C7" s="23" t="s">
        <v>150</v>
      </c>
      <c r="D7" s="29" t="n">
        <v>3380</v>
      </c>
      <c r="E7" s="29" t="n">
        <v>498100</v>
      </c>
    </row>
    <row r="9" customFormat="false" ht="15" hidden="false" customHeight="false" outlineLevel="0" collapsed="false">
      <c r="A9" s="2" t="s">
        <v>153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true"/>
  </sheetPr>
  <dimension ref="A1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8" min="4" style="0" width="12"/>
  </cols>
  <sheetData>
    <row r="1" customFormat="false" ht="19.7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154</v>
      </c>
    </row>
    <row r="4" customFormat="false" ht="23.85" hidden="false" customHeight="false" outlineLevel="0" collapsed="false">
      <c r="A4" s="19" t="s">
        <v>155</v>
      </c>
      <c r="B4" s="20" t="s">
        <v>80</v>
      </c>
      <c r="C4" s="20" t="s">
        <v>156</v>
      </c>
      <c r="D4" s="20" t="s">
        <v>130</v>
      </c>
      <c r="E4" s="20" t="s">
        <v>131</v>
      </c>
      <c r="F4" s="20" t="s">
        <v>132</v>
      </c>
      <c r="G4" s="20" t="s">
        <v>133</v>
      </c>
      <c r="H4" s="20" t="s">
        <v>134</v>
      </c>
    </row>
    <row r="5" customFormat="false" ht="15" hidden="false" customHeight="false" outlineLevel="0" collapsed="false">
      <c r="A5" s="8" t="s">
        <v>157</v>
      </c>
      <c r="B5" s="8" t="s">
        <v>158</v>
      </c>
      <c r="D5" s="30" t="n">
        <v>1</v>
      </c>
      <c r="E5" s="30" t="n">
        <f aca="false">D5+1</f>
        <v>2</v>
      </c>
      <c r="F5" s="30" t="n">
        <f aca="false">E5+1</f>
        <v>3</v>
      </c>
      <c r="G5" s="30" t="n">
        <f aca="false">F5+1</f>
        <v>4</v>
      </c>
      <c r="H5" s="30" t="n">
        <f aca="false">G5+1</f>
        <v>5</v>
      </c>
    </row>
    <row r="7" customFormat="false" ht="15" hidden="false" customHeight="false" outlineLevel="0" collapsed="false">
      <c r="A7" s="6" t="s">
        <v>159</v>
      </c>
      <c r="B7" s="7"/>
      <c r="C7" s="7"/>
      <c r="D7" s="7"/>
      <c r="E7" s="7"/>
      <c r="F7" s="7"/>
      <c r="G7" s="7"/>
      <c r="H7" s="7"/>
    </row>
    <row r="8" customFormat="false" ht="15" hidden="false" customHeight="false" outlineLevel="0" collapsed="false">
      <c r="A8" s="8" t="s">
        <v>87</v>
      </c>
      <c r="B8" s="8" t="s">
        <v>88</v>
      </c>
      <c r="C8" s="31" t="n">
        <f aca="false">Inputs!G8</f>
        <v>610</v>
      </c>
    </row>
    <row r="9" customFormat="false" ht="15" hidden="false" customHeight="false" outlineLevel="0" collapsed="false">
      <c r="A9" s="8" t="s">
        <v>92</v>
      </c>
      <c r="B9" s="8" t="s">
        <v>127</v>
      </c>
      <c r="C9" s="32" t="n">
        <f aca="false">Inputs!G9</f>
        <v>0.15</v>
      </c>
    </row>
    <row r="10" customFormat="false" ht="15" hidden="false" customHeight="false" outlineLevel="0" collapsed="false">
      <c r="A10" s="8" t="s">
        <v>160</v>
      </c>
      <c r="B10" s="8" t="s">
        <v>127</v>
      </c>
      <c r="C10" s="32" t="n">
        <f aca="false">Inputs!G12</f>
        <v>0.02</v>
      </c>
    </row>
    <row r="11" customFormat="false" ht="15" hidden="false" customHeight="false" outlineLevel="0" collapsed="false">
      <c r="A11" s="8" t="s">
        <v>161</v>
      </c>
      <c r="B11" s="8" t="s">
        <v>127</v>
      </c>
      <c r="C11" s="32" t="n">
        <f aca="false">Inputs!G13</f>
        <v>0.4</v>
      </c>
    </row>
    <row r="12" customFormat="false" ht="15" hidden="false" customHeight="false" outlineLevel="0" collapsed="false">
      <c r="A12" s="8" t="s">
        <v>162</v>
      </c>
      <c r="B12" s="8" t="s">
        <v>127</v>
      </c>
      <c r="C12" s="32" t="n">
        <f aca="false">Inputs!G14</f>
        <v>0.01</v>
      </c>
    </row>
    <row r="13" customFormat="false" ht="15" hidden="false" customHeight="false" outlineLevel="0" collapsed="false">
      <c r="A13" s="8" t="s">
        <v>163</v>
      </c>
      <c r="B13" s="8" t="s">
        <v>127</v>
      </c>
      <c r="C13" s="32" t="n">
        <f aca="false">Inputs!G15</f>
        <v>0.006</v>
      </c>
    </row>
    <row r="14" customFormat="false" ht="15" hidden="false" customHeight="false" outlineLevel="0" collapsed="false">
      <c r="A14" s="8" t="s">
        <v>164</v>
      </c>
      <c r="B14" s="8" t="s">
        <v>127</v>
      </c>
      <c r="C14" s="32" t="n">
        <f aca="false">Inputs!G16</f>
        <v>0.9</v>
      </c>
    </row>
    <row r="15" customFormat="false" ht="15" hidden="false" customHeight="false" outlineLevel="0" collapsed="false">
      <c r="A15" s="8" t="s">
        <v>123</v>
      </c>
      <c r="B15" s="8" t="s">
        <v>88</v>
      </c>
      <c r="C15" s="31" t="n">
        <f aca="false">Inputs!G17</f>
        <v>6</v>
      </c>
    </row>
    <row r="16" customFormat="false" ht="15" hidden="false" customHeight="false" outlineLevel="0" collapsed="false">
      <c r="A16" s="8" t="s">
        <v>126</v>
      </c>
      <c r="B16" s="8" t="s">
        <v>127</v>
      </c>
      <c r="C16" s="32" t="n">
        <f aca="false">Inputs!G18</f>
        <v>0.1</v>
      </c>
    </row>
    <row r="17" customFormat="false" ht="15" hidden="false" customHeight="false" outlineLevel="0" collapsed="false">
      <c r="A17" s="8" t="s">
        <v>165</v>
      </c>
      <c r="B17" s="8" t="s">
        <v>127</v>
      </c>
      <c r="D17" s="32" t="n">
        <f aca="false">Inputs!D22</f>
        <v>0.2</v>
      </c>
      <c r="E17" s="32" t="n">
        <f aca="false">Inputs!E22</f>
        <v>0.5</v>
      </c>
      <c r="F17" s="32" t="n">
        <f aca="false">Inputs!F22</f>
        <v>0.8</v>
      </c>
      <c r="G17" s="32" t="n">
        <f aca="false">Inputs!G22</f>
        <v>1</v>
      </c>
      <c r="H17" s="32" t="n">
        <f aca="false">Inputs!H22</f>
        <v>1</v>
      </c>
    </row>
    <row r="18" customFormat="false" ht="15" hidden="false" customHeight="false" outlineLevel="0" collapsed="false">
      <c r="A18" s="8" t="s">
        <v>140</v>
      </c>
      <c r="B18" s="8" t="s">
        <v>127</v>
      </c>
      <c r="D18" s="32" t="n">
        <f aca="false">Inputs!D23</f>
        <v>0.6</v>
      </c>
      <c r="E18" s="32" t="n">
        <f aca="false">Inputs!E23</f>
        <v>0.4</v>
      </c>
      <c r="F18" s="32" t="n">
        <f aca="false">Inputs!F23</f>
        <v>0</v>
      </c>
      <c r="G18" s="32" t="n">
        <f aca="false">Inputs!G23</f>
        <v>0</v>
      </c>
      <c r="H18" s="32" t="n">
        <f aca="false">Inputs!H23</f>
        <v>0</v>
      </c>
    </row>
    <row r="20" customFormat="false" ht="15" hidden="false" customHeight="false" outlineLevel="0" collapsed="false">
      <c r="A20" s="6" t="s">
        <v>166</v>
      </c>
      <c r="B20" s="7"/>
      <c r="C20" s="7"/>
      <c r="D20" s="7"/>
      <c r="E20" s="7"/>
      <c r="F20" s="7"/>
      <c r="G20" s="7"/>
      <c r="H20" s="7"/>
    </row>
    <row r="21" customFormat="false" ht="15" hidden="false" customHeight="false" outlineLevel="0" collapsed="false">
      <c r="A21" s="8" t="s">
        <v>167</v>
      </c>
      <c r="B21" s="8" t="s">
        <v>88</v>
      </c>
      <c r="C21" s="33" t="n">
        <f aca="false">C8*C9</f>
        <v>91.5</v>
      </c>
    </row>
    <row r="22" customFormat="false" ht="15" hidden="false" customHeight="false" outlineLevel="0" collapsed="false">
      <c r="A22" s="8" t="s">
        <v>168</v>
      </c>
      <c r="B22" s="8" t="s">
        <v>88</v>
      </c>
      <c r="C22" s="33" t="n">
        <f aca="false">C8-C21</f>
        <v>518.5</v>
      </c>
    </row>
    <row r="23" customFormat="false" ht="15" hidden="false" customHeight="false" outlineLevel="0" collapsed="false">
      <c r="A23" s="8" t="s">
        <v>169</v>
      </c>
      <c r="B23" s="8" t="s">
        <v>88</v>
      </c>
      <c r="C23" s="33" t="n">
        <f aca="false">C8*C10*C11</f>
        <v>4.88</v>
      </c>
    </row>
    <row r="24" customFormat="false" ht="15" hidden="false" customHeight="false" outlineLevel="0" collapsed="false">
      <c r="A24" s="8" t="s">
        <v>170</v>
      </c>
      <c r="B24" s="8" t="s">
        <v>88</v>
      </c>
      <c r="C24" s="33" t="n">
        <f aca="false">C22*C12</f>
        <v>5.185</v>
      </c>
    </row>
    <row r="25" customFormat="false" ht="15" hidden="false" customHeight="false" outlineLevel="0" collapsed="false">
      <c r="A25" s="8" t="s">
        <v>171</v>
      </c>
      <c r="B25" s="8" t="s">
        <v>88</v>
      </c>
      <c r="C25" s="33" t="n">
        <f aca="false">C8*C13*C14</f>
        <v>3.294</v>
      </c>
    </row>
    <row r="26" customFormat="false" ht="15" hidden="false" customHeight="false" outlineLevel="0" collapsed="false">
      <c r="A26" s="3" t="s">
        <v>172</v>
      </c>
      <c r="B26" s="8" t="s">
        <v>88</v>
      </c>
      <c r="C26" s="33" t="n">
        <f aca="false">SUM(C23:C25)</f>
        <v>13.359</v>
      </c>
    </row>
    <row r="28" customFormat="false" ht="15" hidden="false" customHeight="false" outlineLevel="0" collapsed="false">
      <c r="A28" s="6" t="s">
        <v>173</v>
      </c>
      <c r="B28" s="7"/>
      <c r="C28" s="7"/>
      <c r="D28" s="7"/>
      <c r="E28" s="7"/>
      <c r="F28" s="7"/>
      <c r="G28" s="7"/>
      <c r="H28" s="7"/>
    </row>
    <row r="29" customFormat="false" ht="15" hidden="false" customHeight="false" outlineLevel="0" collapsed="false">
      <c r="A29" s="8" t="s">
        <v>174</v>
      </c>
      <c r="B29" s="8" t="s">
        <v>88</v>
      </c>
      <c r="C29" s="33" t="n">
        <f aca="false">SUM(D29:H29)</f>
        <v>17.08</v>
      </c>
      <c r="D29" s="33" t="n">
        <f aca="false">$C$23*D$17</f>
        <v>0.976</v>
      </c>
      <c r="E29" s="33" t="n">
        <f aca="false">$C$23*E$17</f>
        <v>2.44</v>
      </c>
      <c r="F29" s="33" t="n">
        <f aca="false">$C$23*F$17</f>
        <v>3.904</v>
      </c>
      <c r="G29" s="33" t="n">
        <f aca="false">$C$23*G$17</f>
        <v>4.88</v>
      </c>
      <c r="H29" s="33" t="n">
        <f aca="false">$C$23*H$17</f>
        <v>4.88</v>
      </c>
    </row>
    <row r="30" customFormat="false" ht="15" hidden="false" customHeight="false" outlineLevel="0" collapsed="false">
      <c r="A30" s="8" t="s">
        <v>175</v>
      </c>
      <c r="B30" s="8" t="s">
        <v>88</v>
      </c>
      <c r="C30" s="33" t="n">
        <f aca="false">SUM(D30:H30)</f>
        <v>18.1475</v>
      </c>
      <c r="D30" s="33" t="n">
        <f aca="false">$C$24*D$17</f>
        <v>1.037</v>
      </c>
      <c r="E30" s="33" t="n">
        <f aca="false">$C$24*E$17</f>
        <v>2.5925</v>
      </c>
      <c r="F30" s="33" t="n">
        <f aca="false">$C$24*F$17</f>
        <v>4.148</v>
      </c>
      <c r="G30" s="33" t="n">
        <f aca="false">$C$24*G$17</f>
        <v>5.185</v>
      </c>
      <c r="H30" s="33" t="n">
        <f aca="false">$C$24*H$17</f>
        <v>5.185</v>
      </c>
    </row>
    <row r="31" customFormat="false" ht="15" hidden="false" customHeight="false" outlineLevel="0" collapsed="false">
      <c r="A31" s="8" t="s">
        <v>176</v>
      </c>
      <c r="B31" s="8" t="s">
        <v>88</v>
      </c>
      <c r="C31" s="33" t="n">
        <f aca="false">SUM(D31:H31)</f>
        <v>11.529</v>
      </c>
      <c r="D31" s="33" t="n">
        <f aca="false">$C$25*D$17</f>
        <v>0.6588</v>
      </c>
      <c r="E31" s="33" t="n">
        <f aca="false">$C$25*E$17</f>
        <v>1.647</v>
      </c>
      <c r="F31" s="33" t="n">
        <f aca="false">$C$25*F$17</f>
        <v>2.6352</v>
      </c>
      <c r="G31" s="33" t="n">
        <f aca="false">$C$25*G$17</f>
        <v>3.294</v>
      </c>
      <c r="H31" s="33" t="n">
        <f aca="false">$C$25*H$17</f>
        <v>3.294</v>
      </c>
    </row>
    <row r="32" customFormat="false" ht="15" hidden="false" customHeight="false" outlineLevel="0" collapsed="false">
      <c r="A32" s="3" t="s">
        <v>177</v>
      </c>
      <c r="B32" s="8" t="s">
        <v>88</v>
      </c>
      <c r="C32" s="33" t="n">
        <f aca="false">SUM(D32:H32)</f>
        <v>46.7565</v>
      </c>
      <c r="D32" s="33" t="n">
        <f aca="false">SUM(D29:D31)</f>
        <v>2.6718</v>
      </c>
      <c r="E32" s="33" t="n">
        <f aca="false">SUM(E29:E31)</f>
        <v>6.6795</v>
      </c>
      <c r="F32" s="33" t="n">
        <f aca="false">SUM(F29:F31)</f>
        <v>10.6872</v>
      </c>
      <c r="G32" s="33" t="n">
        <f aca="false">SUM(G29:G31)</f>
        <v>13.359</v>
      </c>
      <c r="H32" s="33" t="n">
        <f aca="false">SUM(H29:H31)</f>
        <v>13.359</v>
      </c>
    </row>
    <row r="33" customFormat="false" ht="15" hidden="false" customHeight="false" outlineLevel="0" collapsed="false">
      <c r="A33" s="8" t="s">
        <v>178</v>
      </c>
      <c r="B33" s="8" t="s">
        <v>88</v>
      </c>
      <c r="C33" s="33" t="n">
        <f aca="false">SUM(D33:H33)</f>
        <v>-6</v>
      </c>
      <c r="D33" s="33" t="n">
        <f aca="false">-$C$15*D18</f>
        <v>-3.6</v>
      </c>
      <c r="E33" s="33" t="n">
        <f aca="false">-$C$15*E18</f>
        <v>-2.4</v>
      </c>
      <c r="F33" s="33" t="n">
        <f aca="false">-$C$15*F18</f>
        <v>-0</v>
      </c>
      <c r="G33" s="33" t="n">
        <f aca="false">-$C$15*G18</f>
        <v>-0</v>
      </c>
      <c r="H33" s="33" t="n">
        <f aca="false">-$C$15*H18</f>
        <v>-0</v>
      </c>
    </row>
    <row r="34" customFormat="false" ht="15" hidden="false" customHeight="false" outlineLevel="0" collapsed="false">
      <c r="A34" s="3" t="s">
        <v>179</v>
      </c>
      <c r="B34" s="8" t="s">
        <v>88</v>
      </c>
      <c r="C34" s="33" t="n">
        <f aca="false">SUM(D34:H34)</f>
        <v>40.7565</v>
      </c>
      <c r="D34" s="33" t="n">
        <f aca="false">D32+D33</f>
        <v>-0.9282</v>
      </c>
      <c r="E34" s="33" t="n">
        <f aca="false">E32+E33</f>
        <v>4.2795</v>
      </c>
      <c r="F34" s="33" t="n">
        <f aca="false">F32+F33</f>
        <v>10.6872</v>
      </c>
      <c r="G34" s="33" t="n">
        <f aca="false">G32+G33</f>
        <v>13.359</v>
      </c>
      <c r="H34" s="33" t="n">
        <f aca="false">H32+H33</f>
        <v>13.359</v>
      </c>
    </row>
    <row r="35" customFormat="false" ht="15" hidden="false" customHeight="false" outlineLevel="0" collapsed="false">
      <c r="A35" s="8" t="s">
        <v>180</v>
      </c>
      <c r="B35" s="8" t="s">
        <v>181</v>
      </c>
      <c r="D35" s="34" t="n">
        <f aca="false">1/(1+$C$16)^D$5</f>
        <v>0.909090909090909</v>
      </c>
      <c r="E35" s="34" t="n">
        <f aca="false">1/(1+$C$16)^E$5</f>
        <v>0.826446280991735</v>
      </c>
      <c r="F35" s="34" t="n">
        <f aca="false">1/(1+$C$16)^F$5</f>
        <v>0.751314800901578</v>
      </c>
      <c r="G35" s="34" t="n">
        <f aca="false">1/(1+$C$16)^G$5</f>
        <v>0.683013455365071</v>
      </c>
      <c r="H35" s="34" t="n">
        <f aca="false">1/(1+$C$16)^H$5</f>
        <v>0.620921323059155</v>
      </c>
    </row>
    <row r="36" customFormat="false" ht="15" hidden="false" customHeight="false" outlineLevel="0" collapsed="false">
      <c r="A36" s="8" t="s">
        <v>182</v>
      </c>
      <c r="B36" s="8" t="s">
        <v>88</v>
      </c>
      <c r="C36" s="33" t="n">
        <f aca="false">SUM(D36:H36)</f>
        <v>28.1416749228505</v>
      </c>
      <c r="D36" s="33" t="n">
        <f aca="false">D34*D35</f>
        <v>-0.843818181818181</v>
      </c>
      <c r="E36" s="33" t="n">
        <f aca="false">E34*E35</f>
        <v>3.53677685950413</v>
      </c>
      <c r="F36" s="33" t="n">
        <f aca="false">F34*F35</f>
        <v>8.02945154019534</v>
      </c>
      <c r="G36" s="33" t="n">
        <f aca="false">G34*G35</f>
        <v>9.12437675022198</v>
      </c>
      <c r="H36" s="33" t="n">
        <f aca="false">H34*H35</f>
        <v>8.29488795474725</v>
      </c>
    </row>
    <row r="37" customFormat="false" ht="15" hidden="false" customHeight="false" outlineLevel="0" collapsed="false">
      <c r="A37" s="8" t="s">
        <v>183</v>
      </c>
      <c r="B37" s="8" t="s">
        <v>88</v>
      </c>
      <c r="D37" s="33" t="n">
        <f aca="false">SUM($D34:D34)</f>
        <v>-0.9282</v>
      </c>
      <c r="E37" s="33" t="n">
        <f aca="false">SUM($D34:E34)</f>
        <v>3.3513</v>
      </c>
      <c r="F37" s="33" t="n">
        <f aca="false">SUM($D34:F34)</f>
        <v>14.0385</v>
      </c>
      <c r="G37" s="33" t="n">
        <f aca="false">SUM($D34:G34)</f>
        <v>27.3975</v>
      </c>
      <c r="H37" s="33" t="n">
        <f aca="false">SUM($D34:H34)</f>
        <v>40.7565</v>
      </c>
    </row>
    <row r="38" customFormat="false" ht="15" hidden="false" customHeight="false" outlineLevel="0" collapsed="false">
      <c r="A38" s="8" t="s">
        <v>184</v>
      </c>
      <c r="B38" s="8" t="s">
        <v>185</v>
      </c>
      <c r="C38" s="30" t="n">
        <f aca="false">IF(SUM(D38:H38)=0,"Not within horizon",COUNT(D5:H5)-SUM(D38:H38)+1)</f>
        <v>2</v>
      </c>
      <c r="D38" s="30" t="n">
        <f aca="false">IF(D37&gt;=0,1,0)</f>
        <v>0</v>
      </c>
      <c r="E38" s="30" t="n">
        <f aca="false">IF(E37&gt;=0,1,0)</f>
        <v>1</v>
      </c>
      <c r="F38" s="30" t="n">
        <f aca="false">IF(F37&gt;=0,1,0)</f>
        <v>1</v>
      </c>
      <c r="G38" s="30" t="n">
        <f aca="false">IF(G37&gt;=0,1,0)</f>
        <v>1</v>
      </c>
      <c r="H38" s="30" t="n">
        <f aca="false">IF(H37&gt;=0,1,0)</f>
        <v>1</v>
      </c>
    </row>
    <row r="39" customFormat="false" ht="15" hidden="false" customHeight="false" outlineLevel="0" collapsed="false">
      <c r="A39" s="2" t="s">
        <v>186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187</v>
      </c>
    </row>
    <row r="4" customFormat="false" ht="15" hidden="false" customHeight="false" outlineLevel="0" collapsed="false">
      <c r="A4" s="3" t="s">
        <v>20</v>
      </c>
      <c r="C4" s="35" t="s">
        <v>47</v>
      </c>
    </row>
    <row r="5" customFormat="false" ht="15" hidden="false" customHeight="false" outlineLevel="0" collapsed="false">
      <c r="A5" s="8" t="s">
        <v>188</v>
      </c>
      <c r="C5" s="36" t="n">
        <f aca="false">MATCH(C4,B8:B10,0)</f>
        <v>2</v>
      </c>
    </row>
    <row r="7" customFormat="false" ht="15" hidden="false" customHeight="false" outlineLevel="0" collapsed="false">
      <c r="A7" s="19" t="s">
        <v>189</v>
      </c>
      <c r="B7" s="20" t="s">
        <v>190</v>
      </c>
      <c r="C7" s="20" t="s">
        <v>191</v>
      </c>
    </row>
    <row r="8" customFormat="false" ht="15" hidden="false" customHeight="false" outlineLevel="0" collapsed="false">
      <c r="A8" s="30" t="n">
        <v>1</v>
      </c>
      <c r="B8" s="23" t="s">
        <v>81</v>
      </c>
      <c r="C8" s="8" t="s">
        <v>192</v>
      </c>
    </row>
    <row r="9" customFormat="false" ht="15" hidden="false" customHeight="false" outlineLevel="0" collapsed="false">
      <c r="A9" s="30" t="n">
        <v>2</v>
      </c>
      <c r="B9" s="23" t="s">
        <v>47</v>
      </c>
      <c r="C9" s="8" t="s">
        <v>193</v>
      </c>
    </row>
    <row r="10" customFormat="false" ht="15" hidden="false" customHeight="false" outlineLevel="0" collapsed="false">
      <c r="A10" s="30" t="n">
        <v>3</v>
      </c>
      <c r="B10" s="23" t="s">
        <v>82</v>
      </c>
      <c r="C10" s="8" t="s">
        <v>194</v>
      </c>
    </row>
    <row r="12" customFormat="false" ht="15" hidden="false" customHeight="false" outlineLevel="0" collapsed="false">
      <c r="A12" s="2" t="s">
        <v>195</v>
      </c>
    </row>
  </sheetData>
  <dataValidations count="1">
    <dataValidation allowBlank="false" errorStyle="stop" operator="between" showDropDown="false" showErrorMessage="false" showInputMessage="false" sqref="C4" type="list">
      <formula1>$B$8:$B$10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000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52"/>
  </cols>
  <sheetData>
    <row r="1" customFormat="false" ht="19.7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19" t="s">
        <v>197</v>
      </c>
      <c r="B4" s="20" t="s">
        <v>80</v>
      </c>
      <c r="C4" s="20" t="s">
        <v>198</v>
      </c>
      <c r="D4" s="20" t="s">
        <v>199</v>
      </c>
      <c r="E4" s="20" t="s">
        <v>191</v>
      </c>
    </row>
    <row r="5" customFormat="false" ht="15" hidden="false" customHeight="false" outlineLevel="0" collapsed="false">
      <c r="A5" s="8" t="s">
        <v>167</v>
      </c>
      <c r="B5" s="8" t="s">
        <v>88</v>
      </c>
      <c r="C5" s="31" t="n">
        <f aca="false">Calc!C21</f>
        <v>91.5</v>
      </c>
      <c r="D5" s="23" t="s">
        <v>200</v>
      </c>
      <c r="E5" s="8" t="s">
        <v>201</v>
      </c>
    </row>
    <row r="6" customFormat="false" ht="15" hidden="false" customHeight="false" outlineLevel="0" collapsed="false">
      <c r="A6" s="8" t="s">
        <v>169</v>
      </c>
      <c r="B6" s="8" t="s">
        <v>88</v>
      </c>
      <c r="C6" s="31" t="n">
        <f aca="false">Calc!C23</f>
        <v>4.88</v>
      </c>
      <c r="D6" s="23" t="s">
        <v>200</v>
      </c>
      <c r="E6" s="8" t="s">
        <v>202</v>
      </c>
    </row>
    <row r="7" customFormat="false" ht="15" hidden="false" customHeight="false" outlineLevel="0" collapsed="false">
      <c r="A7" s="8" t="s">
        <v>170</v>
      </c>
      <c r="B7" s="8" t="s">
        <v>88</v>
      </c>
      <c r="C7" s="31" t="n">
        <f aca="false">Calc!C24</f>
        <v>5.185</v>
      </c>
      <c r="D7" s="23" t="s">
        <v>200</v>
      </c>
      <c r="E7" s="8" t="s">
        <v>203</v>
      </c>
    </row>
    <row r="8" customFormat="false" ht="15" hidden="false" customHeight="false" outlineLevel="0" collapsed="false">
      <c r="A8" s="8" t="s">
        <v>171</v>
      </c>
      <c r="B8" s="8" t="s">
        <v>88</v>
      </c>
      <c r="C8" s="31" t="n">
        <f aca="false">Calc!C25</f>
        <v>3.294</v>
      </c>
      <c r="D8" s="23" t="s">
        <v>200</v>
      </c>
      <c r="E8" s="8" t="s">
        <v>204</v>
      </c>
    </row>
    <row r="9" customFormat="false" ht="15" hidden="false" customHeight="false" outlineLevel="0" collapsed="false">
      <c r="A9" s="8" t="s">
        <v>205</v>
      </c>
      <c r="B9" s="8" t="s">
        <v>88</v>
      </c>
      <c r="C9" s="31" t="n">
        <f aca="false">Calc!C26</f>
        <v>13.359</v>
      </c>
      <c r="D9" s="23" t="s">
        <v>200</v>
      </c>
      <c r="E9" s="8" t="s">
        <v>206</v>
      </c>
    </row>
    <row r="10" customFormat="false" ht="15" hidden="false" customHeight="false" outlineLevel="0" collapsed="false">
      <c r="A10" s="8" t="s">
        <v>207</v>
      </c>
      <c r="B10" s="8" t="s">
        <v>88</v>
      </c>
      <c r="C10" s="33" t="n">
        <f aca="false">C5+C9</f>
        <v>104.859</v>
      </c>
      <c r="D10" s="23" t="s">
        <v>200</v>
      </c>
      <c r="E10" s="8" t="s">
        <v>208</v>
      </c>
    </row>
    <row r="11" customFormat="false" ht="15" hidden="false" customHeight="false" outlineLevel="0" collapsed="false">
      <c r="A11" s="8" t="s">
        <v>209</v>
      </c>
      <c r="B11" s="8" t="s">
        <v>88</v>
      </c>
      <c r="C11" s="31" t="n">
        <f aca="false">Calc!H32</f>
        <v>13.359</v>
      </c>
      <c r="D11" s="23" t="s">
        <v>200</v>
      </c>
      <c r="E11" s="8" t="s">
        <v>210</v>
      </c>
    </row>
    <row r="12" customFormat="false" ht="15" hidden="false" customHeight="false" outlineLevel="0" collapsed="false">
      <c r="A12" s="8" t="s">
        <v>123</v>
      </c>
      <c r="B12" s="8" t="s">
        <v>88</v>
      </c>
      <c r="C12" s="31" t="n">
        <f aca="false">-Calc!C33</f>
        <v>6</v>
      </c>
      <c r="D12" s="23" t="s">
        <v>200</v>
      </c>
      <c r="E12" s="8" t="s">
        <v>211</v>
      </c>
    </row>
    <row r="13" customFormat="false" ht="15" hidden="false" customHeight="false" outlineLevel="0" collapsed="false">
      <c r="A13" s="8" t="s">
        <v>212</v>
      </c>
      <c r="B13" s="8" t="s">
        <v>88</v>
      </c>
      <c r="C13" s="31" t="n">
        <f aca="false">Calc!C36</f>
        <v>28.1416749228505</v>
      </c>
      <c r="D13" s="23" t="s">
        <v>200</v>
      </c>
      <c r="E13" s="8" t="s">
        <v>213</v>
      </c>
    </row>
    <row r="14" customFormat="false" ht="15" hidden="false" customHeight="false" outlineLevel="0" collapsed="false">
      <c r="A14" s="8" t="s">
        <v>214</v>
      </c>
      <c r="B14" s="8" t="s">
        <v>215</v>
      </c>
      <c r="C14" s="9" t="n">
        <f aca="false">Calc!C38</f>
        <v>2</v>
      </c>
      <c r="D14" s="23" t="s">
        <v>200</v>
      </c>
      <c r="E14" s="8" t="s">
        <v>216</v>
      </c>
    </row>
    <row r="16" customFormat="false" ht="15" hidden="false" customHeight="false" outlineLevel="0" collapsed="false">
      <c r="A16" s="8" t="s">
        <v>20</v>
      </c>
      <c r="C16" s="13" t="str">
        <f aca="false">Scenarios!C4</f>
        <v>Base</v>
      </c>
    </row>
    <row r="18" customFormat="false" ht="15" hidden="false" customHeight="false" outlineLevel="0" collapsed="false">
      <c r="A18" s="6" t="s">
        <v>217</v>
      </c>
      <c r="B18" s="7"/>
      <c r="C18" s="7"/>
      <c r="D18" s="7"/>
      <c r="E18" s="7"/>
    </row>
    <row r="19" customFormat="false" ht="15" hidden="false" customHeight="false" outlineLevel="0" collapsed="false">
      <c r="A19" s="19" t="s">
        <v>218</v>
      </c>
      <c r="B19" s="20" t="s">
        <v>80</v>
      </c>
      <c r="C19" s="20" t="s">
        <v>198</v>
      </c>
    </row>
    <row r="20" customFormat="false" ht="15" hidden="false" customHeight="false" outlineLevel="0" collapsed="false">
      <c r="A20" s="8" t="s">
        <v>167</v>
      </c>
      <c r="B20" s="8" t="s">
        <v>88</v>
      </c>
      <c r="C20" s="33" t="n">
        <f aca="false">C5</f>
        <v>91.5</v>
      </c>
    </row>
    <row r="21" customFormat="false" ht="15" hidden="false" customHeight="false" outlineLevel="0" collapsed="false">
      <c r="A21" s="8" t="s">
        <v>219</v>
      </c>
      <c r="B21" s="8" t="s">
        <v>88</v>
      </c>
      <c r="C21" s="33" t="n">
        <f aca="false">C6</f>
        <v>4.88</v>
      </c>
    </row>
    <row r="22" customFormat="false" ht="15" hidden="false" customHeight="false" outlineLevel="0" collapsed="false">
      <c r="A22" s="8" t="s">
        <v>220</v>
      </c>
      <c r="B22" s="8" t="s">
        <v>88</v>
      </c>
      <c r="C22" s="33" t="n">
        <f aca="false">C7</f>
        <v>5.185</v>
      </c>
    </row>
    <row r="23" customFormat="false" ht="15" hidden="false" customHeight="false" outlineLevel="0" collapsed="false">
      <c r="A23" s="8" t="s">
        <v>221</v>
      </c>
      <c r="B23" s="8" t="s">
        <v>88</v>
      </c>
      <c r="C23" s="33" t="n">
        <f aca="false">C8</f>
        <v>3.294</v>
      </c>
    </row>
    <row r="24" customFormat="false" ht="15" hidden="false" customHeight="false" outlineLevel="0" collapsed="false">
      <c r="A24" s="3" t="s">
        <v>222</v>
      </c>
      <c r="B24" s="8" t="s">
        <v>88</v>
      </c>
      <c r="C24" s="33" t="n">
        <f aca="false">SUM(C20:C23)</f>
        <v>104.859</v>
      </c>
    </row>
    <row r="26" customFormat="false" ht="15" hidden="false" customHeight="false" outlineLevel="0" collapsed="false">
      <c r="A26" s="8" t="s">
        <v>223</v>
      </c>
      <c r="C26" s="30" t="n">
        <f aca="false">SUMPRODUCT(--ISERROR(C5:C14))+SUMPRODUCT(--ISERROR(C20:C24))</f>
        <v>0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7" min="7" style="0" width="40"/>
  </cols>
  <sheetData>
    <row r="1" customFormat="false" ht="19.7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B4" s="8" t="s">
        <v>225</v>
      </c>
      <c r="C4" s="37" t="n">
        <f aca="false">Inputs!G11</f>
        <v>0.05</v>
      </c>
    </row>
    <row r="6" customFormat="false" ht="15" hidden="false" customHeight="false" outlineLevel="0" collapsed="false">
      <c r="A6" s="19" t="s">
        <v>158</v>
      </c>
      <c r="B6" s="20" t="s">
        <v>226</v>
      </c>
      <c r="C6" s="20" t="s">
        <v>227</v>
      </c>
      <c r="D6" s="20" t="s">
        <v>228</v>
      </c>
      <c r="E6" s="20"/>
      <c r="F6" s="20" t="s">
        <v>229</v>
      </c>
      <c r="G6" s="20" t="s">
        <v>230</v>
      </c>
    </row>
    <row r="7" customFormat="false" ht="15" hidden="false" customHeight="false" outlineLevel="0" collapsed="false">
      <c r="A7" s="38" t="n">
        <v>1</v>
      </c>
      <c r="B7" s="8" t="s">
        <v>231</v>
      </c>
      <c r="C7" s="39" t="n">
        <f aca="false">ABS(C29-C30)</f>
        <v>0</v>
      </c>
      <c r="D7" s="39" t="n">
        <f aca="false">$C$4</f>
        <v>0.05</v>
      </c>
      <c r="F7" s="30" t="n">
        <f aca="false">IF(C7&gt;D7,1,0)</f>
        <v>0</v>
      </c>
      <c r="G7" s="8" t="s">
        <v>232</v>
      </c>
    </row>
    <row r="8" customFormat="false" ht="15" hidden="false" customHeight="false" outlineLevel="0" collapsed="false">
      <c r="A8" s="38" t="n">
        <v>2</v>
      </c>
      <c r="B8" s="8" t="s">
        <v>233</v>
      </c>
      <c r="C8" s="39" t="n">
        <f aca="false">ABS(C31-C32)</f>
        <v>0</v>
      </c>
      <c r="D8" s="39" t="n">
        <f aca="false">$C$4</f>
        <v>0.05</v>
      </c>
      <c r="F8" s="30" t="n">
        <f aca="false">IF(C8&gt;D8,1,0)</f>
        <v>0</v>
      </c>
      <c r="G8" s="8" t="s">
        <v>234</v>
      </c>
    </row>
    <row r="9" customFormat="false" ht="15" hidden="false" customHeight="false" outlineLevel="0" collapsed="false">
      <c r="A9" s="38" t="n">
        <v>3</v>
      </c>
      <c r="B9" s="8" t="s">
        <v>235</v>
      </c>
      <c r="C9" s="39" t="n">
        <f aca="false">ABS(C33-(C34+C35+C36))</f>
        <v>0</v>
      </c>
      <c r="D9" s="39" t="n">
        <f aca="false">$C$4</f>
        <v>0.05</v>
      </c>
      <c r="F9" s="30" t="n">
        <f aca="false">IF(C9&gt;D9,1,0)</f>
        <v>0</v>
      </c>
      <c r="G9" s="8" t="s">
        <v>236</v>
      </c>
    </row>
    <row r="10" customFormat="false" ht="15" hidden="false" customHeight="false" outlineLevel="0" collapsed="false">
      <c r="A10" s="38" t="n">
        <v>4</v>
      </c>
      <c r="B10" s="8" t="s">
        <v>237</v>
      </c>
      <c r="C10" s="39" t="n">
        <f aca="false">ABS(C37-1)</f>
        <v>0</v>
      </c>
      <c r="D10" s="40" t="n">
        <v>0.0001</v>
      </c>
      <c r="F10" s="30" t="n">
        <f aca="false">IF(C10&gt;D10,1,0)</f>
        <v>0</v>
      </c>
      <c r="G10" s="8" t="s">
        <v>238</v>
      </c>
    </row>
    <row r="11" customFormat="false" ht="15" hidden="false" customHeight="false" outlineLevel="0" collapsed="false">
      <c r="A11" s="38" t="n">
        <v>5</v>
      </c>
      <c r="B11" s="8" t="s">
        <v>239</v>
      </c>
      <c r="C11" s="39" t="n">
        <f aca="false">MAX(0,C38-1)</f>
        <v>0</v>
      </c>
      <c r="D11" s="40" t="n">
        <v>0.0001</v>
      </c>
      <c r="F11" s="30" t="n">
        <f aca="false">IF(C11&gt;D11,1,0)</f>
        <v>0</v>
      </c>
      <c r="G11" s="8" t="s">
        <v>240</v>
      </c>
    </row>
    <row r="12" customFormat="false" ht="15" hidden="false" customHeight="false" outlineLevel="0" collapsed="false">
      <c r="A12" s="38" t="n">
        <v>6</v>
      </c>
      <c r="B12" s="8" t="s">
        <v>241</v>
      </c>
      <c r="C12" s="39" t="n">
        <f aca="false">IF(ISNUMBER(C39),0,1)</f>
        <v>0</v>
      </c>
      <c r="D12" s="40" t="n">
        <v>0</v>
      </c>
      <c r="F12" s="30" t="n">
        <f aca="false">IF(C12&gt;D12,1,0)</f>
        <v>0</v>
      </c>
      <c r="G12" s="8" t="s">
        <v>242</v>
      </c>
    </row>
    <row r="13" customFormat="false" ht="15" hidden="false" customHeight="false" outlineLevel="0" collapsed="false">
      <c r="A13" s="38" t="n">
        <v>7</v>
      </c>
      <c r="B13" s="8" t="s">
        <v>243</v>
      </c>
      <c r="C13" s="39" t="n">
        <f aca="false">C42</f>
        <v>0</v>
      </c>
      <c r="D13" s="40" t="n">
        <v>0</v>
      </c>
      <c r="F13" s="30" t="n">
        <f aca="false">IF(C13&gt;D13,1,0)</f>
        <v>0</v>
      </c>
      <c r="G13" s="8" t="s">
        <v>244</v>
      </c>
    </row>
    <row r="15" customFormat="false" ht="15" hidden="false" customHeight="false" outlineLevel="0" collapsed="false">
      <c r="A15" s="6" t="s">
        <v>245</v>
      </c>
      <c r="B15" s="7"/>
      <c r="C15" s="7"/>
      <c r="D15" s="7"/>
      <c r="E15" s="7"/>
      <c r="F15" s="7"/>
      <c r="G15" s="7"/>
    </row>
    <row r="16" customFormat="false" ht="15" hidden="false" customHeight="false" outlineLevel="0" collapsed="false">
      <c r="A16" s="19" t="s">
        <v>158</v>
      </c>
      <c r="B16" s="20" t="s">
        <v>226</v>
      </c>
      <c r="C16" s="20" t="s">
        <v>198</v>
      </c>
      <c r="D16" s="20" t="s">
        <v>246</v>
      </c>
      <c r="E16" s="20"/>
      <c r="F16" s="20" t="s">
        <v>229</v>
      </c>
      <c r="G16" s="20" t="s">
        <v>247</v>
      </c>
    </row>
    <row r="17" customFormat="false" ht="15" hidden="false" customHeight="false" outlineLevel="0" collapsed="false">
      <c r="A17" s="8" t="n">
        <v>1</v>
      </c>
      <c r="B17" s="8" t="s">
        <v>248</v>
      </c>
      <c r="C17" s="28" t="n">
        <f aca="false">C40/C29</f>
        <v>0.146</v>
      </c>
      <c r="D17" s="41" t="n">
        <v>0.25</v>
      </c>
      <c r="F17" s="30" t="n">
        <f aca="false">IF(C17&gt;D17,1,0)</f>
        <v>0</v>
      </c>
      <c r="G17" s="8" t="s">
        <v>249</v>
      </c>
    </row>
    <row r="18" customFormat="false" ht="15" hidden="false" customHeight="false" outlineLevel="0" collapsed="false">
      <c r="A18" s="8" t="n">
        <v>2</v>
      </c>
      <c r="B18" s="8" t="s">
        <v>250</v>
      </c>
      <c r="C18" s="28" t="n">
        <f aca="false">C41</f>
        <v>0.15</v>
      </c>
      <c r="D18" s="41" t="n">
        <v>0.05</v>
      </c>
      <c r="E18" s="41" t="n">
        <v>0.4</v>
      </c>
      <c r="F18" s="30" t="n">
        <f aca="false">IF(OR(C18&lt;D18,C18&gt;E18),1,0)</f>
        <v>0</v>
      </c>
      <c r="G18" s="8" t="s">
        <v>251</v>
      </c>
    </row>
    <row r="20" customFormat="false" ht="15" hidden="false" customHeight="false" outlineLevel="0" collapsed="false">
      <c r="A20" s="6" t="s">
        <v>21</v>
      </c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B21" s="3" t="s">
        <v>252</v>
      </c>
      <c r="C21" s="42" t="n">
        <f aca="false">SUM(F7:F13)</f>
        <v>0</v>
      </c>
    </row>
    <row r="22" customFormat="false" ht="15" hidden="false" customHeight="false" outlineLevel="0" collapsed="false">
      <c r="B22" s="3" t="s">
        <v>253</v>
      </c>
      <c r="C22" s="42" t="n">
        <f aca="false">SUM(F17:F18)</f>
        <v>0</v>
      </c>
    </row>
    <row r="28" customFormat="false" ht="15" hidden="false" customHeight="false" outlineLevel="0" collapsed="false">
      <c r="A28" s="6" t="s">
        <v>254</v>
      </c>
      <c r="B28" s="7"/>
      <c r="C28" s="7"/>
      <c r="D28" s="7"/>
      <c r="E28" s="7"/>
      <c r="F28" s="7"/>
      <c r="G28" s="7"/>
    </row>
    <row r="29" customFormat="false" ht="15" hidden="false" customHeight="false" outlineLevel="0" collapsed="false">
      <c r="B29" s="8" t="s">
        <v>255</v>
      </c>
      <c r="C29" s="31" t="n">
        <f aca="false">Calc!C21</f>
        <v>91.5</v>
      </c>
    </row>
    <row r="30" customFormat="false" ht="15" hidden="false" customHeight="false" outlineLevel="0" collapsed="false">
      <c r="B30" s="8" t="s">
        <v>256</v>
      </c>
      <c r="C30" s="31" t="n">
        <f aca="false">Inputs!G10</f>
        <v>91.5</v>
      </c>
    </row>
    <row r="31" customFormat="false" ht="15" hidden="false" customHeight="false" outlineLevel="0" collapsed="false">
      <c r="B31" s="8" t="s">
        <v>257</v>
      </c>
      <c r="C31" s="31" t="n">
        <f aca="false">Outputs!C24</f>
        <v>104.859</v>
      </c>
    </row>
    <row r="32" customFormat="false" ht="15" hidden="false" customHeight="false" outlineLevel="0" collapsed="false">
      <c r="B32" s="8" t="s">
        <v>258</v>
      </c>
      <c r="C32" s="31" t="n">
        <f aca="false">Outputs!C10</f>
        <v>104.859</v>
      </c>
    </row>
    <row r="33" customFormat="false" ht="15" hidden="false" customHeight="false" outlineLevel="0" collapsed="false">
      <c r="B33" s="8" t="s">
        <v>259</v>
      </c>
      <c r="C33" s="31" t="n">
        <f aca="false">Calc!C32</f>
        <v>46.7565</v>
      </c>
    </row>
    <row r="34" customFormat="false" ht="15" hidden="false" customHeight="false" outlineLevel="0" collapsed="false">
      <c r="B34" s="8" t="s">
        <v>260</v>
      </c>
      <c r="C34" s="31" t="n">
        <f aca="false">Calc!C29</f>
        <v>17.08</v>
      </c>
    </row>
    <row r="35" customFormat="false" ht="15" hidden="false" customHeight="false" outlineLevel="0" collapsed="false">
      <c r="B35" s="8" t="s">
        <v>261</v>
      </c>
      <c r="C35" s="31" t="n">
        <f aca="false">Calc!C30</f>
        <v>18.1475</v>
      </c>
    </row>
    <row r="36" customFormat="false" ht="15" hidden="false" customHeight="false" outlineLevel="0" collapsed="false">
      <c r="B36" s="8" t="s">
        <v>262</v>
      </c>
      <c r="C36" s="31" t="n">
        <f aca="false">Calc!C31</f>
        <v>11.529</v>
      </c>
    </row>
    <row r="37" customFormat="false" ht="15" hidden="false" customHeight="false" outlineLevel="0" collapsed="false">
      <c r="B37" s="8" t="s">
        <v>263</v>
      </c>
      <c r="C37" s="32" t="n">
        <f aca="false">Inputs!I23</f>
        <v>1</v>
      </c>
    </row>
    <row r="38" customFormat="false" ht="15" hidden="false" customHeight="false" outlineLevel="0" collapsed="false">
      <c r="B38" s="8" t="s">
        <v>264</v>
      </c>
      <c r="C38" s="32" t="n">
        <f aca="false">Inputs!I22</f>
        <v>1</v>
      </c>
    </row>
    <row r="39" customFormat="false" ht="15" hidden="false" customHeight="false" outlineLevel="0" collapsed="false">
      <c r="B39" s="8" t="s">
        <v>265</v>
      </c>
      <c r="C39" s="9" t="n">
        <f aca="false">Scenarios!C5</f>
        <v>2</v>
      </c>
    </row>
    <row r="40" customFormat="false" ht="15" hidden="false" customHeight="false" outlineLevel="0" collapsed="false">
      <c r="B40" s="8" t="s">
        <v>209</v>
      </c>
      <c r="C40" s="31" t="n">
        <f aca="false">Calc!H32</f>
        <v>13.359</v>
      </c>
    </row>
    <row r="41" customFormat="false" ht="15" hidden="false" customHeight="false" outlineLevel="0" collapsed="false">
      <c r="B41" s="8" t="s">
        <v>92</v>
      </c>
      <c r="C41" s="32" t="n">
        <f aca="false">Inputs!G9</f>
        <v>0.15</v>
      </c>
    </row>
    <row r="42" customFormat="false" ht="15" hidden="false" customHeight="false" outlineLevel="0" collapsed="false">
      <c r="B42" s="8" t="s">
        <v>266</v>
      </c>
      <c r="C42" s="9" t="n">
        <f aca="false">Outputs!C26</f>
        <v>0</v>
      </c>
    </row>
  </sheetData>
  <conditionalFormatting sqref="F7:F13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0</formula>
    </cfRule>
  </conditionalFormatting>
  <conditionalFormatting sqref="F17:F18">
    <cfRule type="cellIs" priority="4" operator="equal" aboveAverage="0" equalAverage="0" bottom="0" percent="0" rank="0" text="" dxfId="2">
      <formula>1</formula>
    </cfRule>
  </conditionalFormatting>
  <conditionalFormatting sqref="C21">
    <cfRule type="cellIs" priority="5" operator="greaterThan" aboveAverage="0" equalAverage="0" bottom="0" percent="0" rank="0" text="" dxfId="0">
      <formula>0</formula>
    </cfRule>
    <cfRule type="cellIs" priority="6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267</v>
      </c>
    </row>
    <row r="4" customFormat="false" ht="15" hidden="false" customHeight="false" outlineLevel="0" collapsed="false">
      <c r="A4" s="19" t="s">
        <v>268</v>
      </c>
      <c r="B4" s="20" t="s">
        <v>16</v>
      </c>
      <c r="C4" s="20" t="s">
        <v>269</v>
      </c>
      <c r="D4" s="20" t="s">
        <v>270</v>
      </c>
      <c r="E4" s="20" t="s">
        <v>24</v>
      </c>
    </row>
    <row r="5" customFormat="false" ht="15" hidden="false" customHeight="false" outlineLevel="0" collapsed="false">
      <c r="A5" s="23" t="s">
        <v>271</v>
      </c>
      <c r="B5" s="23" t="s">
        <v>17</v>
      </c>
      <c r="C5" s="23" t="s">
        <v>272</v>
      </c>
      <c r="D5" s="8" t="s">
        <v>273</v>
      </c>
      <c r="E5" s="8" t="s">
        <v>274</v>
      </c>
    </row>
    <row r="8" customFormat="false" ht="15" hidden="false" customHeight="false" outlineLevel="0" collapsed="false">
      <c r="A8" s="6" t="s">
        <v>275</v>
      </c>
      <c r="B8" s="7"/>
      <c r="C8" s="7"/>
      <c r="D8" s="7"/>
      <c r="E8" s="7"/>
    </row>
    <row r="9" customFormat="false" ht="15" hidden="false" customHeight="false" outlineLevel="0" collapsed="false">
      <c r="A9" s="19" t="s">
        <v>276</v>
      </c>
      <c r="B9" s="20" t="s">
        <v>277</v>
      </c>
      <c r="C9" s="20" t="s">
        <v>278</v>
      </c>
      <c r="D9" s="20" t="s">
        <v>279</v>
      </c>
      <c r="E9" s="20" t="s">
        <v>280</v>
      </c>
    </row>
    <row r="14" customFormat="false" ht="15" hidden="false" customHeight="false" outlineLevel="0" collapsed="false">
      <c r="A14" s="6" t="s">
        <v>281</v>
      </c>
      <c r="B14" s="7"/>
      <c r="C14" s="7"/>
      <c r="D14" s="7"/>
      <c r="E14" s="7"/>
    </row>
    <row r="15" customFormat="false" ht="15" hidden="false" customHeight="false" outlineLevel="0" collapsed="false">
      <c r="A15" s="19" t="s">
        <v>282</v>
      </c>
      <c r="B15" s="20" t="s">
        <v>283</v>
      </c>
      <c r="C15" s="20" t="s">
        <v>10</v>
      </c>
      <c r="D15" s="20" t="s">
        <v>284</v>
      </c>
      <c r="E15" s="20" t="s">
        <v>24</v>
      </c>
    </row>
    <row r="20" customFormat="false" ht="15" hidden="false" customHeight="false" outlineLevel="0" collapsed="false">
      <c r="A20" s="6" t="s">
        <v>285</v>
      </c>
      <c r="B20" s="7"/>
      <c r="C20" s="7"/>
      <c r="D20" s="7"/>
      <c r="E20" s="7"/>
    </row>
    <row r="21" customFormat="false" ht="15" hidden="false" customHeight="false" outlineLevel="0" collapsed="false">
      <c r="A21" s="19" t="s">
        <v>286</v>
      </c>
      <c r="B21" s="20" t="s">
        <v>16</v>
      </c>
      <c r="C21" s="20" t="s">
        <v>12</v>
      </c>
      <c r="D21" s="20" t="s">
        <v>287</v>
      </c>
      <c r="E21" s="20" t="s">
        <v>288</v>
      </c>
    </row>
    <row r="22" customFormat="false" ht="15" hidden="false" customHeight="false" outlineLevel="0" collapsed="false">
      <c r="A22" s="8" t="s">
        <v>289</v>
      </c>
    </row>
    <row r="23" customFormat="false" ht="15" hidden="false" customHeight="false" outlineLevel="0" collapsed="false">
      <c r="A23" s="8" t="s">
        <v>290</v>
      </c>
    </row>
    <row r="24" customFormat="false" ht="15" hidden="false" customHeight="false" outlineLevel="0" collapsed="false">
      <c r="A24" s="8" t="s">
        <v>291</v>
      </c>
    </row>
    <row r="25" customFormat="false" ht="15" hidden="false" customHeight="false" outlineLevel="0" collapsed="false">
      <c r="A25" s="8" t="s">
        <v>292</v>
      </c>
    </row>
    <row r="26" customFormat="false" ht="15" hidden="false" customHeight="false" outlineLevel="0" collapsed="false">
      <c r="A26" s="8" t="s">
        <v>293</v>
      </c>
    </row>
  </sheetData>
  <printOptions headings="false" gridLines="false" gridLinesSet="true" horizontalCentered="fals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&amp;RCONFIDENTIAL - DRAFT</oddHeader>
    <oddFooter>&amp;C&amp;A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2026-10-17T01:34:37Z</dcterms:created>
  <dc:creator>openpyxl</dc:creator>
  <dc:description/>
  <dc:language>en-US</dc:language>
  <cp:lastModifiedBy/>
  <dcterms:modified xsi:type="dcterms:W3CDTF">2026-10-17T01:34:37Z</dcterms:modified>
  <cp:revision>0</cp:revision>
  <dc:subject/>
  <dc:title>Consulting-OS Starter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